
<file path=[Content_Types].xml><?xml version="1.0" encoding="utf-8"?>
<Types xmlns="http://schemas.openxmlformats.org/package/2006/content-type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tables/table3.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xml"/>
  <Override PartName="/xl/slicers/slicer2.xml" ContentType="application/vnd.ms-excel.slicer+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D:\My Projects\Heart failure prediction\"/>
    </mc:Choice>
  </mc:AlternateContent>
  <xr:revisionPtr revIDLastSave="0" documentId="13_ncr:1_{170FD894-0757-4C22-9624-AB6D1D1C7F54}" xr6:coauthVersionLast="47" xr6:coauthVersionMax="47" xr10:uidLastSave="{00000000-0000-0000-0000-000000000000}"/>
  <bookViews>
    <workbookView xWindow="-108" yWindow="-108" windowWidth="23256" windowHeight="12456" firstSheet="2" activeTab="7" xr2:uid="{5C04B5AC-55DB-4E4D-8BDA-4955E6867DE6}"/>
  </bookViews>
  <sheets>
    <sheet name="heart" sheetId="2" r:id="rId1"/>
    <sheet name="EDA Summary" sheetId="1" r:id="rId2"/>
    <sheet name="Histograms" sheetId="3" r:id="rId3"/>
    <sheet name="Correlation_Data" sheetId="4" r:id="rId4"/>
    <sheet name="Correlation_matrix" sheetId="6" r:id="rId5"/>
    <sheet name="Pivot_Analysis" sheetId="8" r:id="rId6"/>
    <sheet name="Dashboard1" sheetId="10" r:id="rId7"/>
    <sheet name="Dashboard2" sheetId="11" r:id="rId8"/>
  </sheets>
  <definedNames>
    <definedName name="ExternalData_1" localSheetId="0" hidden="1">heart!$A$1:$L$919</definedName>
    <definedName name="Slicer_Age1">#N/A</definedName>
    <definedName name="Slicer_ExerciseAngina1">#N/A</definedName>
    <definedName name="Slicer_Sex1">#N/A</definedName>
  </definedNames>
  <calcPr calcId="191029"/>
  <pivotCaches>
    <pivotCache cacheId="0" r:id="rId9"/>
  </pivotCaches>
  <extLst>
    <ext xmlns:x14="http://schemas.microsoft.com/office/spreadsheetml/2009/9/main" uri="{BBE1A952-AA13-448e-AADC-164F8A28A991}">
      <x14:slicerCaches>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20" i="3" l="1"/>
  <c r="B4" i="3"/>
  <c r="B3" i="3"/>
  <c r="D21" i="8" l="1"/>
  <c r="B43" i="3"/>
  <c r="B42" i="3"/>
  <c r="B41" i="3"/>
  <c r="B40" i="3"/>
  <c r="B39" i="3"/>
  <c r="B38" i="3"/>
  <c r="B37" i="3"/>
  <c r="B36" i="3"/>
  <c r="B27" i="3"/>
  <c r="B26" i="3"/>
  <c r="B25" i="3"/>
  <c r="B24" i="3"/>
  <c r="B23" i="3"/>
  <c r="B22" i="3"/>
  <c r="B21" i="3"/>
  <c r="B8" i="3"/>
  <c r="B7" i="3"/>
  <c r="B6" i="3"/>
  <c r="B5" i="3"/>
  <c r="E8" i="1"/>
  <c r="D8" i="1"/>
  <c r="C8" i="1"/>
  <c r="B8" i="1"/>
  <c r="E7" i="1"/>
  <c r="D7" i="1"/>
  <c r="C7" i="1"/>
  <c r="B7" i="1"/>
  <c r="E6" i="1"/>
  <c r="D6" i="1"/>
  <c r="C6" i="1"/>
  <c r="B6" i="1"/>
  <c r="E5" i="1"/>
  <c r="D5" i="1"/>
  <c r="C5" i="1"/>
  <c r="B2" i="1"/>
  <c r="E4" i="1"/>
  <c r="C4" i="1"/>
  <c r="D4" i="1"/>
  <c r="B4" i="1"/>
  <c r="E3" i="1"/>
  <c r="B3" i="1"/>
  <c r="C3" i="1"/>
  <c r="B5" i="1"/>
  <c r="D3" i="1"/>
  <c r="E2" i="1"/>
  <c r="D2" i="1"/>
  <c r="C2" i="1"/>
  <c r="D23" i="8"/>
  <c r="E24" i="8"/>
  <c r="E22" i="8"/>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41127577-BB53-410C-B4A5-BD5DE560373D}" keepAlive="1" name="Query - heart" description="Connection to the 'heart' query in the workbook." type="5" refreshedVersion="8" background="1" saveData="1">
    <dbPr connection="Provider=Microsoft.Mashup.OleDb.1;Data Source=$Workbook$;Location=heart;Extended Properties=&quot;&quot;" command="SELECT * FROM [heart]"/>
  </connection>
</connections>
</file>

<file path=xl/sharedStrings.xml><?xml version="1.0" encoding="utf-8"?>
<sst xmlns="http://schemas.openxmlformats.org/spreadsheetml/2006/main" count="4700" uniqueCount="73">
  <si>
    <t>Age</t>
  </si>
  <si>
    <t>Sex</t>
  </si>
  <si>
    <t>ChestPainType</t>
  </si>
  <si>
    <t>RestingBP</t>
  </si>
  <si>
    <t>Cholesterol</t>
  </si>
  <si>
    <t>FastingBS</t>
  </si>
  <si>
    <t>RestingECG</t>
  </si>
  <si>
    <t>MaxHR</t>
  </si>
  <si>
    <t>ExerciseAngina</t>
  </si>
  <si>
    <t>Oldpeak</t>
  </si>
  <si>
    <t>ST_Slope</t>
  </si>
  <si>
    <t>HeartDisease</t>
  </si>
  <si>
    <t>M</t>
  </si>
  <si>
    <t>ATA</t>
  </si>
  <si>
    <t>Normal</t>
  </si>
  <si>
    <t>N</t>
  </si>
  <si>
    <t>Up</t>
  </si>
  <si>
    <t>F</t>
  </si>
  <si>
    <t>NAP</t>
  </si>
  <si>
    <t>Flat</t>
  </si>
  <si>
    <t>ST</t>
  </si>
  <si>
    <t>ASY</t>
  </si>
  <si>
    <t>Y</t>
  </si>
  <si>
    <t>TA</t>
  </si>
  <si>
    <t>LVH</t>
  </si>
  <si>
    <t>Down</t>
  </si>
  <si>
    <t>Feature</t>
  </si>
  <si>
    <t>Min</t>
  </si>
  <si>
    <t>Max</t>
  </si>
  <si>
    <t>Mean</t>
  </si>
  <si>
    <t>Median</t>
  </si>
  <si>
    <t>Resting BP</t>
  </si>
  <si>
    <t>Fasting BS</t>
  </si>
  <si>
    <t>Max HR</t>
  </si>
  <si>
    <t>Old Peak</t>
  </si>
  <si>
    <t>Heart Disease</t>
  </si>
  <si>
    <t>Count</t>
  </si>
  <si>
    <t>20-29</t>
  </si>
  <si>
    <t>30-39</t>
  </si>
  <si>
    <t>40-49</t>
  </si>
  <si>
    <t>50-59</t>
  </si>
  <si>
    <t>60-69</t>
  </si>
  <si>
    <t>70-79</t>
  </si>
  <si>
    <t>Age Bins</t>
  </si>
  <si>
    <t>Chol Bins</t>
  </si>
  <si>
    <t>0-150</t>
  </si>
  <si>
    <t>150-200</t>
  </si>
  <si>
    <t>200-250</t>
  </si>
  <si>
    <t>250-300</t>
  </si>
  <si>
    <t>300-350</t>
  </si>
  <si>
    <t>350-400</t>
  </si>
  <si>
    <t>400-450</t>
  </si>
  <si>
    <t>450-600</t>
  </si>
  <si>
    <t>HR Bins</t>
  </si>
  <si>
    <t>60-80</t>
  </si>
  <si>
    <t>80-100</t>
  </si>
  <si>
    <t>100-120</t>
  </si>
  <si>
    <t>120-140</t>
  </si>
  <si>
    <t>140-160</t>
  </si>
  <si>
    <t>160-180</t>
  </si>
  <si>
    <t>180-200</t>
  </si>
  <si>
    <t>200-220</t>
  </si>
  <si>
    <t>Column1</t>
  </si>
  <si>
    <t>Row Labels</t>
  </si>
  <si>
    <t>Grand Total</t>
  </si>
  <si>
    <t>Count of HeartDisease</t>
  </si>
  <si>
    <t>Column Labels</t>
  </si>
  <si>
    <t>70-80</t>
  </si>
  <si>
    <t>Overall Heart Disease Distribution</t>
  </si>
  <si>
    <t xml:space="preserve">                                     Sex VS Heart Disease Analysis</t>
  </si>
  <si>
    <t xml:space="preserve">                                     Pivot_AgeGroup_Disease</t>
  </si>
  <si>
    <t xml:space="preserve">                    ExerciseAngina_Disease_Analysis</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</si>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</sst>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 x14ac:knownFonts="1">
    <font>
      <sz val="11"/>
      <color theme="1"/>
      <name val="Trebuchet MS"/>
      <family val="2"/>
      <scheme val="minor"/>
    </font>
    <font>
      <i/>
      <sz val="11"/>
      <color theme="1"/>
      <name val="Trebuchet MS"/>
      <family val="2"/>
      <scheme val="minor"/>
    </font>
    <font>
      <b/>
      <sz val="12"/>
      <color theme="1"/>
      <name val="Trebuchet MS"/>
      <family val="2"/>
      <scheme val="minor"/>
    </font>
    <font>
      <sz val="11"/>
      <color theme="1"/>
      <name val="Trebuchet MS"/>
      <family val="2"/>
      <scheme val="minor"/>
    </font>
    <font>
      <sz val="11"/>
      <color theme="0"/>
      <name val="Trebuchet MS"/>
      <family val="2"/>
      <scheme val="minor"/>
    </font>
  </fonts>
  <fills count="4">
    <fill>
      <patternFill patternType="none"/>
    </fill>
    <fill>
      <patternFill patternType="gray125"/>
    </fill>
    <fill>
      <patternFill patternType="solid">
        <fgColor theme="0"/>
        <bgColor indexed="64"/>
      </patternFill>
    </fill>
    <fill>
      <patternFill patternType="solid">
        <fgColor theme="2"/>
        <bgColor indexed="64"/>
      </patternFill>
    </fill>
  </fills>
  <borders count="10">
    <border>
      <left/>
      <right/>
      <top/>
      <bottom/>
      <diagonal/>
    </border>
    <border>
      <left/>
      <right/>
      <top/>
      <bottom style="thin">
        <color indexed="64"/>
      </bottom>
      <diagonal/>
    </border>
    <border>
      <left style="medium">
        <color theme="0"/>
      </left>
      <right/>
      <top style="medium">
        <color theme="0"/>
      </top>
      <bottom/>
      <diagonal/>
    </border>
    <border>
      <left/>
      <right/>
      <top style="medium">
        <color theme="0"/>
      </top>
      <bottom/>
      <diagonal/>
    </border>
    <border>
      <left/>
      <right style="medium">
        <color theme="0"/>
      </right>
      <top style="medium">
        <color theme="0"/>
      </top>
      <bottom/>
      <diagonal/>
    </border>
    <border>
      <left style="medium">
        <color theme="0"/>
      </left>
      <right/>
      <top/>
      <bottom/>
      <diagonal/>
    </border>
    <border>
      <left/>
      <right style="medium">
        <color theme="0"/>
      </right>
      <top/>
      <bottom/>
      <diagonal/>
    </border>
    <border>
      <left style="medium">
        <color theme="0"/>
      </left>
      <right/>
      <top/>
      <bottom style="medium">
        <color theme="0"/>
      </bottom>
      <diagonal/>
    </border>
    <border>
      <left/>
      <right/>
      <top/>
      <bottom style="medium">
        <color theme="0"/>
      </bottom>
      <diagonal/>
    </border>
    <border>
      <left/>
      <right style="medium">
        <color theme="0"/>
      </right>
      <top/>
      <bottom style="medium">
        <color theme="0"/>
      </bottom>
      <diagonal/>
    </border>
  </borders>
  <cellStyleXfs count="2">
    <xf numFmtId="0" fontId="0" fillId="0" borderId="0"/>
    <xf numFmtId="9" fontId="3" fillId="0" borderId="0" applyFont="0" applyFill="0" applyBorder="0" applyAlignment="0" applyProtection="0"/>
  </cellStyleXfs>
  <cellXfs count="18">
    <xf numFmtId="0" fontId="0" fillId="0" borderId="0" xfId="0"/>
    <xf numFmtId="0" fontId="1" fillId="0" borderId="1" xfId="0" applyFont="1" applyBorder="1" applyAlignment="1">
      <alignment horizontal="center"/>
    </xf>
    <xf numFmtId="0" fontId="0" fillId="2" borderId="0" xfId="0" applyFill="1"/>
    <xf numFmtId="0" fontId="0" fillId="0" borderId="0" xfId="0" pivotButton="1"/>
    <xf numFmtId="0" fontId="0" fillId="0" borderId="0" xfId="0" applyAlignment="1">
      <alignment horizontal="left"/>
    </xf>
    <xf numFmtId="0" fontId="2" fillId="0" borderId="0" xfId="0" applyFont="1"/>
    <xf numFmtId="9" fontId="0" fillId="0" borderId="0" xfId="1" applyFont="1"/>
    <xf numFmtId="0" fontId="0" fillId="3" borderId="0" xfId="0" applyFill="1"/>
    <xf numFmtId="0" fontId="4" fillId="3" borderId="0" xfId="0" applyFont="1" applyFill="1"/>
    <xf numFmtId="0" fontId="0" fillId="3" borderId="2" xfId="0" applyFill="1" applyBorder="1"/>
    <xf numFmtId="0" fontId="0" fillId="3" borderId="3" xfId="0" applyFill="1" applyBorder="1"/>
    <xf numFmtId="0" fontId="0" fillId="3" borderId="4"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0" fillId="3" borderId="9" xfId="0" applyFill="1" applyBorder="1"/>
    <xf numFmtId="0" fontId="0" fillId="0" borderId="0" xfId="0" applyNumberFormat="1"/>
  </cellXfs>
  <cellStyles count="2">
    <cellStyle name="Normal" xfId="0" builtinId="0"/>
    <cellStyle name="Percent" xfId="1" builtinId="5"/>
  </cellStyles>
  <dxfs count="23">
    <dxf>
      <numFmt numFmtId="0" formatCode="General"/>
    </dxf>
    <dxf>
      <numFmt numFmtId="0" formatCode="General"/>
    </dxf>
    <dxf>
      <numFmt numFmtId="0" formatCode="General"/>
    </dxf>
    <dxf>
      <numFmt numFmtId="0" formatCode="General"/>
    </dxf>
    <dxf>
      <numFmt numFmtId="0" formatCode="General"/>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fill>
        <patternFill patternType="none">
          <fgColor indexed="64"/>
          <bgColor indexed="65"/>
        </patternFill>
      </fill>
      <alignment horizontal="general" vertical="bottom" textRotation="0" wrapText="0" indent="0" justifyLastLine="0" shrinkToFit="0" readingOrder="0"/>
    </dxf>
    <dxf>
      <border outline="0">
        <top style="medium">
          <color indexed="64"/>
        </top>
        <bottom style="medium">
          <color indexed="64"/>
        </bottom>
      </border>
    </dxf>
    <dxf>
      <fill>
        <patternFill patternType="none">
          <fgColor indexed="64"/>
          <bgColor indexed="65"/>
        </patternFill>
      </fill>
      <alignment horizontal="general" vertical="bottom" textRotation="0" wrapText="0" indent="0" justifyLastLine="0" shrinkToFit="0" readingOrder="0"/>
    </dxf>
    <dxf>
      <border outline="0">
        <bottom style="thin">
          <color indexed="64"/>
        </bottom>
      </border>
    </dxf>
    <dxf>
      <font>
        <b val="0"/>
        <i/>
        <strike val="0"/>
        <condense val="0"/>
        <extend val="0"/>
        <outline val="0"/>
        <shadow val="0"/>
        <u val="none"/>
        <vertAlign val="baseline"/>
        <sz val="11"/>
        <color theme="1"/>
        <name val="Trebuchet MS"/>
        <family val="2"/>
        <scheme val="minor"/>
      </font>
      <fill>
        <patternFill patternType="none">
          <fgColor indexed="64"/>
          <bgColor indexed="65"/>
        </patternFill>
      </fill>
      <alignment horizontal="center" vertical="bottom" textRotation="0" wrapText="0" indent="0" justifyLastLine="0" shrinkToFit="0" readingOrder="0"/>
    </dxf>
    <dxf>
      <fill>
        <patternFill>
          <fgColor rgb="FF66FFFF"/>
          <bgColor theme="2"/>
        </patternFill>
      </fill>
      <border diagonalUp="0" diagonalDown="0">
        <left/>
        <right/>
        <top/>
        <bottom/>
        <vertical/>
        <horizontal/>
      </border>
    </dxf>
    <dxf>
      <fill>
        <patternFill>
          <fgColor theme="2"/>
        </patternFill>
      </fill>
      <border>
        <left/>
        <right/>
        <top/>
        <bottom/>
      </border>
    </dxf>
    <dxf>
      <fill>
        <patternFill patternType="solid">
          <fgColor rgb="FFFF0000"/>
        </patternFill>
      </fill>
    </dxf>
    <dxf>
      <fill>
        <patternFill patternType="solid">
          <fgColor theme="2"/>
          <bgColor theme="2"/>
        </patternFill>
      </fill>
      <border diagonalUp="0" diagonalDown="0">
        <left/>
        <right/>
        <top/>
        <bottom/>
        <vertical/>
        <horizontal/>
      </border>
    </dxf>
    <dxf>
      <fill>
        <patternFill patternType="none">
          <fgColor indexed="64"/>
          <bgColor auto="1"/>
        </patternFill>
      </fill>
      <border diagonalUp="0" diagonalDown="0">
        <left/>
        <right/>
        <top/>
        <bottom/>
        <vertical/>
        <horizontal/>
      </border>
    </dxf>
    <dxf>
      <fill>
        <patternFill patternType="none">
          <fgColor indexed="64"/>
          <bgColor auto="1"/>
        </patternFill>
      </fill>
    </dxf>
  </dxfs>
  <tableStyles count="7" defaultTableStyle="TableStyleMedium2" defaultPivotStyle="PivotStyleLight16">
    <tableStyle name="Slicer Style 1" pivot="0" table="0" count="0" xr9:uid="{71EA41CE-8870-48DA-9FA7-3BE0ED4AA1D8}"/>
    <tableStyle name="Slicer Style 2" pivot="0" table="0" count="1" xr9:uid="{3A8C0961-C5CB-47AA-86CE-FDF26956293E}">
      <tableStyleElement type="wholeTable" dxfId="22"/>
    </tableStyle>
    <tableStyle name="Slicer Style 3" pivot="0" table="0" count="1" xr9:uid="{4620B61E-9EA2-43BD-881F-8C7AC68F5EEA}">
      <tableStyleElement type="wholeTable" dxfId="21"/>
    </tableStyle>
    <tableStyle name="Slicer Style 4" pivot="0" table="0" count="1" xr9:uid="{A25C9F3F-6080-498B-A78B-B2A2C6D084C2}">
      <tableStyleElement type="wholeTable" dxfId="20"/>
    </tableStyle>
    <tableStyle name="Slicer Style 5" pivot="0" table="0" count="1" xr9:uid="{430AA729-545F-4BDA-8929-32C2C8A24D9F}">
      <tableStyleElement type="wholeTable" dxfId="19"/>
    </tableStyle>
    <tableStyle name="Slicer Style 6" pivot="0" table="0" count="1" xr9:uid="{B748BF40-AC80-4705-AD21-E558E726B3B2}">
      <tableStyleElement type="wholeTable" dxfId="18"/>
    </tableStyle>
    <tableStyle name="Slicer Style 7" pivot="0" table="0" count="1" xr9:uid="{747FF5EE-2935-4782-A5F6-0877897C2511}">
      <tableStyleElement type="wholeTable" dxfId="17"/>
    </tableStyle>
  </tableStyles>
  <colors>
    <mruColors>
      <color rgb="FF66FFFF"/>
      <color rgb="FF00FF00"/>
    </mruColors>
  </colors>
  <extLst>
    <ext xmlns:x14="http://schemas.microsoft.com/office/spreadsheetml/2009/9/main" uri="{EB79DEF2-80B8-43e5-95BD-54CBDDF9020C}">
      <x14:slicerStyles defaultSlicerStyle="SlicerStyleLight1">
        <x14:slicerStyle name="Slicer Style 1"/>
        <x14:slicerStyle name="Slicer Style 2"/>
        <x14:slicerStyle name="Slicer Style 3"/>
        <x14:slicerStyle name="Slicer Style 4"/>
        <x14:slicerStyle name="Slicer Style 5"/>
        <x14:slicerStyle name="Slicer Style 6"/>
        <x14:slicerStyle name="Slicer Style 7"/>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1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3.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2.xml"/><Relationship Id="rId5" Type="http://schemas.openxmlformats.org/officeDocument/2006/relationships/worksheet" Target="worksheets/sheet5.xml"/><Relationship Id="rId15" Type="http://schemas.openxmlformats.org/officeDocument/2006/relationships/styles" Target="styles.xml"/><Relationship Id="rId10" Type="http://schemas.microsoft.com/office/2007/relationships/slicerCache" Target="slicerCaches/slicerCache1.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connections" Target="connection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Age</a:t>
            </a:r>
            <a:r>
              <a:rPr lang="en-IN" b="1" baseline="0"/>
              <a:t> Distribution Histogram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Histograms!$B$2</c:f>
              <c:strCache>
                <c:ptCount val="1"/>
                <c:pt idx="0">
                  <c:v>Count</c:v>
                </c:pt>
              </c:strCache>
            </c:strRef>
          </c:tx>
          <c:spPr>
            <a:solidFill>
              <a:schemeClr val="accent1"/>
            </a:solidFill>
            <a:ln>
              <a:noFill/>
            </a:ln>
            <a:effectLst/>
          </c:spPr>
          <c:invertIfNegative val="0"/>
          <c:cat>
            <c:strRef>
              <c:f>Histograms!$A$3:$A$8</c:f>
              <c:strCache>
                <c:ptCount val="6"/>
                <c:pt idx="0">
                  <c:v>20-29</c:v>
                </c:pt>
                <c:pt idx="1">
                  <c:v>30-39</c:v>
                </c:pt>
                <c:pt idx="2">
                  <c:v>40-49</c:v>
                </c:pt>
                <c:pt idx="3">
                  <c:v>50-59</c:v>
                </c:pt>
                <c:pt idx="4">
                  <c:v>60-69</c:v>
                </c:pt>
                <c:pt idx="5">
                  <c:v>70-79</c:v>
                </c:pt>
              </c:strCache>
            </c:strRef>
          </c:cat>
          <c:val>
            <c:numRef>
              <c:f>Histograms!$B$3:$B$8</c:f>
              <c:numCache>
                <c:formatCode>General</c:formatCode>
                <c:ptCount val="6"/>
                <c:pt idx="0">
                  <c:v>4</c:v>
                </c:pt>
                <c:pt idx="1">
                  <c:v>76</c:v>
                </c:pt>
                <c:pt idx="2">
                  <c:v>211</c:v>
                </c:pt>
                <c:pt idx="3">
                  <c:v>374</c:v>
                </c:pt>
                <c:pt idx="4">
                  <c:v>222</c:v>
                </c:pt>
                <c:pt idx="5">
                  <c:v>31</c:v>
                </c:pt>
              </c:numCache>
            </c:numRef>
          </c:val>
          <c:extLst>
            <c:ext xmlns:c16="http://schemas.microsoft.com/office/drawing/2014/chart" uri="{C3380CC4-5D6E-409C-BE32-E72D297353CC}">
              <c16:uniqueId val="{00000000-4D04-40C6-AAC7-2E0214A0DBAC}"/>
            </c:ext>
          </c:extLst>
        </c:ser>
        <c:dLbls>
          <c:showLegendKey val="0"/>
          <c:showVal val="0"/>
          <c:showCatName val="0"/>
          <c:showSerName val="0"/>
          <c:showPercent val="0"/>
          <c:showBubbleSize val="0"/>
        </c:dLbls>
        <c:gapWidth val="5"/>
        <c:overlap val="-27"/>
        <c:axId val="310482511"/>
        <c:axId val="310484431"/>
      </c:barChart>
      <c:catAx>
        <c:axId val="3104825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Age</a:t>
                </a:r>
                <a:r>
                  <a:rPr lang="en-IN" b="1" baseline="0"/>
                  <a:t> Range</a:t>
                </a:r>
                <a:endParaRPr lang="en-IN"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484431"/>
        <c:crosses val="autoZero"/>
        <c:auto val="1"/>
        <c:lblAlgn val="ctr"/>
        <c:lblOffset val="100"/>
        <c:noMultiLvlLbl val="0"/>
      </c:catAx>
      <c:valAx>
        <c:axId val="31048443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104825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1"/>
              <a:t>Cholesterol Distribution Histogram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Histograms!$B$19</c:f>
              <c:strCache>
                <c:ptCount val="1"/>
                <c:pt idx="0">
                  <c:v>Count</c:v>
                </c:pt>
              </c:strCache>
            </c:strRef>
          </c:tx>
          <c:spPr>
            <a:solidFill>
              <a:schemeClr val="accent1"/>
            </a:solidFill>
            <a:ln>
              <a:noFill/>
            </a:ln>
            <a:effectLst/>
          </c:spPr>
          <c:invertIfNegative val="0"/>
          <c:cat>
            <c:strRef>
              <c:f>Histograms!$A$20:$A$27</c:f>
              <c:strCache>
                <c:ptCount val="8"/>
                <c:pt idx="0">
                  <c:v>0-150</c:v>
                </c:pt>
                <c:pt idx="1">
                  <c:v>150-200</c:v>
                </c:pt>
                <c:pt idx="2">
                  <c:v>200-250</c:v>
                </c:pt>
                <c:pt idx="3">
                  <c:v>250-300</c:v>
                </c:pt>
                <c:pt idx="4">
                  <c:v>300-350</c:v>
                </c:pt>
                <c:pt idx="5">
                  <c:v>350-400</c:v>
                </c:pt>
                <c:pt idx="6">
                  <c:v>400-450</c:v>
                </c:pt>
                <c:pt idx="7">
                  <c:v>450-600</c:v>
                </c:pt>
              </c:strCache>
            </c:strRef>
          </c:cat>
          <c:val>
            <c:numRef>
              <c:f>Histograms!$B$20:$B$27</c:f>
              <c:numCache>
                <c:formatCode>General</c:formatCode>
                <c:ptCount val="8"/>
                <c:pt idx="0">
                  <c:v>192</c:v>
                </c:pt>
                <c:pt idx="1">
                  <c:v>130</c:v>
                </c:pt>
                <c:pt idx="2">
                  <c:v>295</c:v>
                </c:pt>
                <c:pt idx="3">
                  <c:v>207</c:v>
                </c:pt>
                <c:pt idx="4">
                  <c:v>78</c:v>
                </c:pt>
                <c:pt idx="5">
                  <c:v>14</c:v>
                </c:pt>
                <c:pt idx="6">
                  <c:v>5</c:v>
                </c:pt>
                <c:pt idx="7">
                  <c:v>7</c:v>
                </c:pt>
              </c:numCache>
            </c:numRef>
          </c:val>
          <c:extLst>
            <c:ext xmlns:c16="http://schemas.microsoft.com/office/drawing/2014/chart" uri="{C3380CC4-5D6E-409C-BE32-E72D297353CC}">
              <c16:uniqueId val="{00000000-DC20-41DB-954B-4F126C8C3EFA}"/>
            </c:ext>
          </c:extLst>
        </c:ser>
        <c:dLbls>
          <c:showLegendKey val="0"/>
          <c:showVal val="0"/>
          <c:showCatName val="0"/>
          <c:showSerName val="0"/>
          <c:showPercent val="0"/>
          <c:showBubbleSize val="0"/>
        </c:dLbls>
        <c:gapWidth val="5"/>
        <c:overlap val="-27"/>
        <c:axId val="136067551"/>
        <c:axId val="738587071"/>
      </c:barChart>
      <c:catAx>
        <c:axId val="1360675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Cholesterol Range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38587071"/>
        <c:crosses val="autoZero"/>
        <c:auto val="1"/>
        <c:lblAlgn val="ctr"/>
        <c:lblOffset val="100"/>
        <c:noMultiLvlLbl val="0"/>
      </c:catAx>
      <c:valAx>
        <c:axId val="73858707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606755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t>Max</a:t>
            </a:r>
            <a:r>
              <a:rPr lang="en-US" b="1" baseline="0"/>
              <a:t>HR </a:t>
            </a:r>
            <a:r>
              <a:rPr lang="en-IN" b="1" baseline="0"/>
              <a:t>Distribution Histogram</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Histograms!$B$35</c:f>
              <c:strCache>
                <c:ptCount val="1"/>
                <c:pt idx="0">
                  <c:v>Count</c:v>
                </c:pt>
              </c:strCache>
            </c:strRef>
          </c:tx>
          <c:spPr>
            <a:solidFill>
              <a:schemeClr val="accent1"/>
            </a:solidFill>
            <a:ln>
              <a:noFill/>
            </a:ln>
            <a:effectLst/>
          </c:spPr>
          <c:invertIfNegative val="0"/>
          <c:cat>
            <c:strRef>
              <c:f>Histograms!$A$36:$A$43</c:f>
              <c:strCache>
                <c:ptCount val="8"/>
                <c:pt idx="0">
                  <c:v>60-80</c:v>
                </c:pt>
                <c:pt idx="1">
                  <c:v>80-100</c:v>
                </c:pt>
                <c:pt idx="2">
                  <c:v>100-120</c:v>
                </c:pt>
                <c:pt idx="3">
                  <c:v>120-140</c:v>
                </c:pt>
                <c:pt idx="4">
                  <c:v>140-160</c:v>
                </c:pt>
                <c:pt idx="5">
                  <c:v>160-180</c:v>
                </c:pt>
                <c:pt idx="6">
                  <c:v>180-200</c:v>
                </c:pt>
                <c:pt idx="7">
                  <c:v>200-220</c:v>
                </c:pt>
              </c:strCache>
            </c:strRef>
          </c:cat>
          <c:val>
            <c:numRef>
              <c:f>Histograms!$B$36:$B$43</c:f>
              <c:numCache>
                <c:formatCode>General</c:formatCode>
                <c:ptCount val="8"/>
                <c:pt idx="0">
                  <c:v>13</c:v>
                </c:pt>
                <c:pt idx="1">
                  <c:v>74</c:v>
                </c:pt>
                <c:pt idx="2">
                  <c:v>190</c:v>
                </c:pt>
                <c:pt idx="3">
                  <c:v>287</c:v>
                </c:pt>
                <c:pt idx="4">
                  <c:v>271</c:v>
                </c:pt>
                <c:pt idx="5">
                  <c:v>174</c:v>
                </c:pt>
                <c:pt idx="6">
                  <c:v>36</c:v>
                </c:pt>
                <c:pt idx="7">
                  <c:v>1</c:v>
                </c:pt>
              </c:numCache>
            </c:numRef>
          </c:val>
          <c:extLst>
            <c:ext xmlns:c16="http://schemas.microsoft.com/office/drawing/2014/chart" uri="{C3380CC4-5D6E-409C-BE32-E72D297353CC}">
              <c16:uniqueId val="{00000000-F174-4172-A45B-E7C19566413D}"/>
            </c:ext>
          </c:extLst>
        </c:ser>
        <c:dLbls>
          <c:showLegendKey val="0"/>
          <c:showVal val="0"/>
          <c:showCatName val="0"/>
          <c:showSerName val="0"/>
          <c:showPercent val="0"/>
          <c:showBubbleSize val="0"/>
        </c:dLbls>
        <c:gapWidth val="5"/>
        <c:overlap val="-27"/>
        <c:axId val="718767167"/>
        <c:axId val="718771007"/>
      </c:barChart>
      <c:catAx>
        <c:axId val="7187671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MaxHR</a:t>
                </a:r>
                <a:r>
                  <a:rPr lang="en-IN" b="1" baseline="0"/>
                  <a:t> Range</a:t>
                </a:r>
                <a:endParaRPr lang="en-IN" b="1"/>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771007"/>
        <c:crosses val="autoZero"/>
        <c:auto val="1"/>
        <c:lblAlgn val="ctr"/>
        <c:lblOffset val="100"/>
        <c:noMultiLvlLbl val="0"/>
      </c:catAx>
      <c:valAx>
        <c:axId val="71877100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Count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8767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[Heart failure prediction.xlsx]Pivot_Analysis!PivotTable3</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David" pitchFamily="2" charset="-79"/>
              </a:defRPr>
            </a:pPr>
            <a:r>
              <a:rPr lang="en-IN" b="1">
                <a:latin typeface="+mn-lt"/>
                <a:cs typeface="David" pitchFamily="2" charset="-79"/>
              </a:rPr>
              <a:t> Heart Disease</a:t>
            </a:r>
            <a:r>
              <a:rPr lang="en-IN" b="1" baseline="0">
                <a:latin typeface="+mn-lt"/>
                <a:cs typeface="David" pitchFamily="2" charset="-79"/>
              </a:rPr>
              <a:t> By Gender</a:t>
            </a:r>
            <a:endParaRPr lang="en-IN" b="1">
              <a:latin typeface="+mn-lt"/>
              <a:cs typeface="David" pitchFamily="2" charset="-79"/>
            </a:endParaRP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David" pitchFamily="2" charset="-79"/>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Pivot_Analysis!$E$4:$E$5</c:f>
              <c:strCache>
                <c:ptCount val="1"/>
                <c:pt idx="0">
                  <c:v>0</c:v>
                </c:pt>
              </c:strCache>
            </c:strRef>
          </c:tx>
          <c:spPr>
            <a:solidFill>
              <a:schemeClr val="accent5">
                <a:shade val="76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Pivot_Analysis!$D$6:$D$8</c:f>
              <c:strCache>
                <c:ptCount val="2"/>
                <c:pt idx="0">
                  <c:v>F</c:v>
                </c:pt>
                <c:pt idx="1">
                  <c:v>M</c:v>
                </c:pt>
              </c:strCache>
            </c:strRef>
          </c:cat>
          <c:val>
            <c:numRef>
              <c:f>Pivot_Analysis!$E$6:$E$8</c:f>
              <c:numCache>
                <c:formatCode>General</c:formatCode>
                <c:ptCount val="2"/>
                <c:pt idx="0">
                  <c:v>143</c:v>
                </c:pt>
                <c:pt idx="1">
                  <c:v>267</c:v>
                </c:pt>
              </c:numCache>
            </c:numRef>
          </c:val>
          <c:extLst>
            <c:ext xmlns:c16="http://schemas.microsoft.com/office/drawing/2014/chart" uri="{C3380CC4-5D6E-409C-BE32-E72D297353CC}">
              <c16:uniqueId val="{00000000-7DC9-48F9-B5A4-E46EB0E616CE}"/>
            </c:ext>
          </c:extLst>
        </c:ser>
        <c:ser>
          <c:idx val="1"/>
          <c:order val="1"/>
          <c:tx>
            <c:strRef>
              <c:f>Pivot_Analysis!$F$4:$F$5</c:f>
              <c:strCache>
                <c:ptCount val="1"/>
                <c:pt idx="0">
                  <c:v>1</c:v>
                </c:pt>
              </c:strCache>
            </c:strRef>
          </c:tx>
          <c:spPr>
            <a:solidFill>
              <a:schemeClr val="accent5">
                <a:tint val="77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Pivot_Analysis!$D$6:$D$8</c:f>
              <c:strCache>
                <c:ptCount val="2"/>
                <c:pt idx="0">
                  <c:v>F</c:v>
                </c:pt>
                <c:pt idx="1">
                  <c:v>M</c:v>
                </c:pt>
              </c:strCache>
            </c:strRef>
          </c:cat>
          <c:val>
            <c:numRef>
              <c:f>Pivot_Analysis!$F$6:$F$8</c:f>
              <c:numCache>
                <c:formatCode>General</c:formatCode>
                <c:ptCount val="2"/>
                <c:pt idx="0">
                  <c:v>50</c:v>
                </c:pt>
                <c:pt idx="1">
                  <c:v>458</c:v>
                </c:pt>
              </c:numCache>
            </c:numRef>
          </c:val>
          <c:extLst>
            <c:ext xmlns:c16="http://schemas.microsoft.com/office/drawing/2014/chart" uri="{C3380CC4-5D6E-409C-BE32-E72D297353CC}">
              <c16:uniqueId val="{00000000-8501-4712-B98C-7DFD3F417F41}"/>
            </c:ext>
          </c:extLst>
        </c:ser>
        <c:dLbls>
          <c:dLblPos val="inEnd"/>
          <c:showLegendKey val="0"/>
          <c:showVal val="1"/>
          <c:showCatName val="0"/>
          <c:showSerName val="0"/>
          <c:showPercent val="0"/>
          <c:showBubbleSize val="0"/>
        </c:dLbls>
        <c:gapWidth val="219"/>
        <c:overlap val="-27"/>
        <c:axId val="1191367199"/>
        <c:axId val="1191368639"/>
      </c:barChart>
      <c:catAx>
        <c:axId val="1191367199"/>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368639"/>
        <c:crosses val="autoZero"/>
        <c:auto val="1"/>
        <c:lblAlgn val="ctr"/>
        <c:lblOffset val="100"/>
        <c:noMultiLvlLbl val="0"/>
      </c:catAx>
      <c:valAx>
        <c:axId val="1191368639"/>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1367199"/>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 failure prediction.xlsx]Pivot_Analysis!PivotTable4</c:name>
    <c:fmtId val="27"/>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Age Group vs Heart Disease</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Pivot_Analysis!$G$11:$G$12</c:f>
              <c:strCache>
                <c:ptCount val="1"/>
                <c:pt idx="0">
                  <c:v>0</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Pivot_Analysis!$F$13:$F$19</c:f>
              <c:strCache>
                <c:ptCount val="6"/>
                <c:pt idx="0">
                  <c:v>20-29</c:v>
                </c:pt>
                <c:pt idx="1">
                  <c:v>30-39</c:v>
                </c:pt>
                <c:pt idx="2">
                  <c:v>40-49</c:v>
                </c:pt>
                <c:pt idx="3">
                  <c:v>50-59</c:v>
                </c:pt>
                <c:pt idx="4">
                  <c:v>60-69</c:v>
                </c:pt>
                <c:pt idx="5">
                  <c:v>70-80</c:v>
                </c:pt>
              </c:strCache>
            </c:strRef>
          </c:cat>
          <c:val>
            <c:numRef>
              <c:f>Pivot_Analysis!$G$13:$G$19</c:f>
              <c:numCache>
                <c:formatCode>General</c:formatCode>
                <c:ptCount val="6"/>
                <c:pt idx="0">
                  <c:v>4</c:v>
                </c:pt>
                <c:pt idx="1">
                  <c:v>50</c:v>
                </c:pt>
                <c:pt idx="2">
                  <c:v>126</c:v>
                </c:pt>
                <c:pt idx="3">
                  <c:v>162</c:v>
                </c:pt>
                <c:pt idx="4">
                  <c:v>59</c:v>
                </c:pt>
                <c:pt idx="5">
                  <c:v>9</c:v>
                </c:pt>
              </c:numCache>
            </c:numRef>
          </c:val>
          <c:smooth val="0"/>
          <c:extLst>
            <c:ext xmlns:c16="http://schemas.microsoft.com/office/drawing/2014/chart" uri="{C3380CC4-5D6E-409C-BE32-E72D297353CC}">
              <c16:uniqueId val="{00000000-4405-4226-A26F-67A50C2D414D}"/>
            </c:ext>
          </c:extLst>
        </c:ser>
        <c:ser>
          <c:idx val="1"/>
          <c:order val="1"/>
          <c:tx>
            <c:strRef>
              <c:f>Pivot_Analysis!$H$11:$H$12</c:f>
              <c:strCache>
                <c:ptCount val="1"/>
                <c:pt idx="0">
                  <c:v>1</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Pivot_Analysis!$F$13:$F$19</c:f>
              <c:strCache>
                <c:ptCount val="6"/>
                <c:pt idx="0">
                  <c:v>20-29</c:v>
                </c:pt>
                <c:pt idx="1">
                  <c:v>30-39</c:v>
                </c:pt>
                <c:pt idx="2">
                  <c:v>40-49</c:v>
                </c:pt>
                <c:pt idx="3">
                  <c:v>50-59</c:v>
                </c:pt>
                <c:pt idx="4">
                  <c:v>60-69</c:v>
                </c:pt>
                <c:pt idx="5">
                  <c:v>70-80</c:v>
                </c:pt>
              </c:strCache>
            </c:strRef>
          </c:cat>
          <c:val>
            <c:numRef>
              <c:f>Pivot_Analysis!$H$13:$H$19</c:f>
              <c:numCache>
                <c:formatCode>General</c:formatCode>
                <c:ptCount val="6"/>
                <c:pt idx="1">
                  <c:v>26</c:v>
                </c:pt>
                <c:pt idx="2">
                  <c:v>85</c:v>
                </c:pt>
                <c:pt idx="3">
                  <c:v>212</c:v>
                </c:pt>
                <c:pt idx="4">
                  <c:v>163</c:v>
                </c:pt>
                <c:pt idx="5">
                  <c:v>22</c:v>
                </c:pt>
              </c:numCache>
            </c:numRef>
          </c:val>
          <c:smooth val="0"/>
          <c:extLst>
            <c:ext xmlns:c16="http://schemas.microsoft.com/office/drawing/2014/chart" uri="{C3380CC4-5D6E-409C-BE32-E72D297353CC}">
              <c16:uniqueId val="{00000000-2938-4572-8F42-03DAB90AE484}"/>
            </c:ext>
          </c:extLst>
        </c:ser>
        <c:dLbls>
          <c:showLegendKey val="0"/>
          <c:showVal val="0"/>
          <c:showCatName val="0"/>
          <c:showSerName val="0"/>
          <c:showPercent val="0"/>
          <c:showBubbleSize val="0"/>
        </c:dLbls>
        <c:marker val="1"/>
        <c:smooth val="0"/>
        <c:axId val="1260309583"/>
        <c:axId val="1260310063"/>
      </c:lineChart>
      <c:catAx>
        <c:axId val="126030958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310063"/>
        <c:crosses val="autoZero"/>
        <c:auto val="1"/>
        <c:lblAlgn val="ctr"/>
        <c:lblOffset val="100"/>
        <c:noMultiLvlLbl val="0"/>
      </c:catAx>
      <c:valAx>
        <c:axId val="1260310063"/>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6030958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 failure prediction.xlsx]Pivot_Analysis!PivotTable5</c:name>
    <c:fmtId val="2"/>
  </c:pivotSource>
  <c:chart>
    <c:title>
      <c:tx>
        <c:rich>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r>
              <a:rPr lang="en-IN" b="1"/>
              <a:t>Exercise Angina vs Heart Disease </a:t>
            </a:r>
          </a:p>
        </c:rich>
      </c:tx>
      <c:overlay val="0"/>
      <c:spPr>
        <a:noFill/>
        <a:ln>
          <a:noFill/>
        </a:ln>
        <a:effectLst/>
      </c:spPr>
      <c:txPr>
        <a:bodyPr rot="0" spcFirstLastPara="1" vertOverflow="ellipsis" vert="horz" wrap="square" anchor="ctr" anchorCtr="1"/>
        <a:lstStyle/>
        <a:p>
          <a:pPr>
            <a:defRPr sz="14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Pivot_Analysis!$B$11:$B$12</c:f>
              <c:strCache>
                <c:ptCount val="1"/>
                <c:pt idx="0">
                  <c:v>0</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Pivot_Analysis!$A$13:$A$15</c:f>
              <c:strCache>
                <c:ptCount val="2"/>
                <c:pt idx="0">
                  <c:v>N</c:v>
                </c:pt>
                <c:pt idx="1">
                  <c:v>Y</c:v>
                </c:pt>
              </c:strCache>
            </c:strRef>
          </c:cat>
          <c:val>
            <c:numRef>
              <c:f>Pivot_Analysis!$B$13:$B$15</c:f>
              <c:numCache>
                <c:formatCode>General</c:formatCode>
                <c:ptCount val="2"/>
                <c:pt idx="0">
                  <c:v>355</c:v>
                </c:pt>
                <c:pt idx="1">
                  <c:v>55</c:v>
                </c:pt>
              </c:numCache>
            </c:numRef>
          </c:val>
          <c:extLst>
            <c:ext xmlns:c16="http://schemas.microsoft.com/office/drawing/2014/chart" uri="{C3380CC4-5D6E-409C-BE32-E72D297353CC}">
              <c16:uniqueId val="{00000000-4943-4A37-96B1-7735F6F89EEC}"/>
            </c:ext>
          </c:extLst>
        </c:ser>
        <c:ser>
          <c:idx val="1"/>
          <c:order val="1"/>
          <c:tx>
            <c:strRef>
              <c:f>Pivot_Analysis!$C$11:$C$12</c:f>
              <c:strCache>
                <c:ptCount val="1"/>
                <c:pt idx="0">
                  <c:v>1</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Pivot_Analysis!$A$13:$A$15</c:f>
              <c:strCache>
                <c:ptCount val="2"/>
                <c:pt idx="0">
                  <c:v>N</c:v>
                </c:pt>
                <c:pt idx="1">
                  <c:v>Y</c:v>
                </c:pt>
              </c:strCache>
            </c:strRef>
          </c:cat>
          <c:val>
            <c:numRef>
              <c:f>Pivot_Analysis!$C$13:$C$15</c:f>
              <c:numCache>
                <c:formatCode>General</c:formatCode>
                <c:ptCount val="2"/>
                <c:pt idx="0">
                  <c:v>192</c:v>
                </c:pt>
                <c:pt idx="1">
                  <c:v>316</c:v>
                </c:pt>
              </c:numCache>
            </c:numRef>
          </c:val>
          <c:extLst>
            <c:ext xmlns:c16="http://schemas.microsoft.com/office/drawing/2014/chart" uri="{C3380CC4-5D6E-409C-BE32-E72D297353CC}">
              <c16:uniqueId val="{00000000-7E91-4194-A7BC-46FA425F63FD}"/>
            </c:ext>
          </c:extLst>
        </c:ser>
        <c:dLbls>
          <c:dLblPos val="inEnd"/>
          <c:showLegendKey val="0"/>
          <c:showVal val="1"/>
          <c:showCatName val="0"/>
          <c:showSerName val="0"/>
          <c:showPercent val="0"/>
          <c:showBubbleSize val="0"/>
        </c:dLbls>
        <c:gapWidth val="219"/>
        <c:overlap val="-27"/>
        <c:axId val="1285119375"/>
        <c:axId val="1285116495"/>
      </c:barChart>
      <c:catAx>
        <c:axId val="12851193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116495"/>
        <c:crosses val="autoZero"/>
        <c:auto val="1"/>
        <c:lblAlgn val="ctr"/>
        <c:lblOffset val="100"/>
        <c:noMultiLvlLbl val="0"/>
      </c:catAx>
      <c:valAx>
        <c:axId val="1285116495"/>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8511937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[Heart failure prediction.xlsx]Pivot_Analysis!PivotTable1</c:name>
    <c:fmtId val="60"/>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Overall Heart Disease Distribution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38100" dist="25400" dir="5400000" rotWithShape="0">
              <a:srgbClr val="000000">
                <a:alpha val="35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38100" dist="25400" dir="5400000" rotWithShape="0">
              <a:srgbClr val="000000">
                <a:alpha val="35000"/>
              </a:srgbClr>
            </a:outerShdw>
          </a:effectLst>
        </c:spPr>
      </c:pivotFmt>
      <c:pivotFmt>
        <c:idx val="3"/>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38100" dist="25400" dir="5400000" rotWithShape="0">
              <a:srgbClr val="000000">
                <a:alpha val="35000"/>
              </a:srgbClr>
            </a:outerShdw>
          </a:effectLst>
        </c:spPr>
      </c:pivotFmt>
    </c:pivotFmts>
    <c:plotArea>
      <c:layout/>
      <c:pieChart>
        <c:varyColors val="1"/>
        <c:ser>
          <c:idx val="0"/>
          <c:order val="0"/>
          <c:tx>
            <c:strRef>
              <c:f>Pivot_Analysis!$B$4</c:f>
              <c:strCache>
                <c:ptCount val="1"/>
                <c:pt idx="0">
                  <c:v>Total</c:v>
                </c:pt>
              </c:strCache>
            </c:strRef>
          </c:tx>
          <c:dPt>
            <c:idx val="0"/>
            <c:bubble3D val="0"/>
            <c:spPr>
              <a:gradFill rotWithShape="1">
                <a:gsLst>
                  <a:gs pos="0">
                    <a:schemeClr val="accent1">
                      <a:tint val="96000"/>
                      <a:lumMod val="100000"/>
                    </a:schemeClr>
                  </a:gs>
                  <a:gs pos="78000">
                    <a:schemeClr val="accent1">
                      <a:shade val="94000"/>
                      <a:lumMod val="94000"/>
                    </a:schemeClr>
                  </a:gs>
                </a:gsLst>
                <a:lin ang="5400000" scaled="0"/>
              </a:gradFill>
              <a:ln>
                <a:noFill/>
              </a:ln>
              <a:effectLst>
                <a:outerShdw blurRad="38100" dist="25400" dir="5400000" rotWithShape="0">
                  <a:srgbClr val="000000">
                    <a:alpha val="35000"/>
                  </a:srgbClr>
                </a:outerShdw>
              </a:effectLst>
            </c:spPr>
            <c:extLst>
              <c:ext xmlns:c16="http://schemas.microsoft.com/office/drawing/2014/chart" uri="{C3380CC4-5D6E-409C-BE32-E72D297353CC}">
                <c16:uniqueId val="{00000001-FEF1-4878-9D1E-53126C90E7AF}"/>
              </c:ext>
            </c:extLst>
          </c:dPt>
          <c:dPt>
            <c:idx val="1"/>
            <c:bubble3D val="0"/>
            <c:spPr>
              <a:gradFill rotWithShape="1">
                <a:gsLst>
                  <a:gs pos="0">
                    <a:schemeClr val="accent2">
                      <a:tint val="96000"/>
                      <a:lumMod val="100000"/>
                    </a:schemeClr>
                  </a:gs>
                  <a:gs pos="78000">
                    <a:schemeClr val="accent2">
                      <a:shade val="94000"/>
                      <a:lumMod val="94000"/>
                    </a:schemeClr>
                  </a:gs>
                </a:gsLst>
                <a:lin ang="5400000" scaled="0"/>
              </a:gradFill>
              <a:ln>
                <a:noFill/>
              </a:ln>
              <a:effectLst>
                <a:outerShdw blurRad="38100" dist="25400" dir="5400000" rotWithShape="0">
                  <a:srgbClr val="000000">
                    <a:alpha val="35000"/>
                  </a:srgbClr>
                </a:outerShdw>
              </a:effectLst>
            </c:spPr>
            <c:extLst>
              <c:ext xmlns:c16="http://schemas.microsoft.com/office/drawing/2014/chart" uri="{C3380CC4-5D6E-409C-BE32-E72D297353CC}">
                <c16:uniqueId val="{00000003-FEF1-4878-9D1E-53126C90E7AF}"/>
              </c:ext>
            </c:extLst>
          </c:dPt>
          <c:cat>
            <c:strRef>
              <c:f>Pivot_Analysis!$A$5:$A$7</c:f>
              <c:strCache>
                <c:ptCount val="2"/>
                <c:pt idx="0">
                  <c:v>0</c:v>
                </c:pt>
                <c:pt idx="1">
                  <c:v>1</c:v>
                </c:pt>
              </c:strCache>
            </c:strRef>
          </c:cat>
          <c:val>
            <c:numRef>
              <c:f>Pivot_Analysis!$B$5:$B$7</c:f>
              <c:numCache>
                <c:formatCode>General</c:formatCode>
                <c:ptCount val="2"/>
                <c:pt idx="0">
                  <c:v>410</c:v>
                </c:pt>
                <c:pt idx="1">
                  <c:v>508</c:v>
                </c:pt>
              </c:numCache>
            </c:numRef>
          </c:val>
          <c:extLst>
            <c:ext xmlns:c16="http://schemas.microsoft.com/office/drawing/2014/chart" uri="{C3380CC4-5D6E-409C-BE32-E72D297353CC}">
              <c16:uniqueId val="{00000004-FEF1-4878-9D1E-53126C90E7AF}"/>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[Heart failure prediction.xlsx]Pivot_Analysis!PivotTable4</c:name>
    <c:fmtId val="4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100"/>
              <a:t>Age</a:t>
            </a:r>
            <a:r>
              <a:rPr lang="en-IN" sz="1100" baseline="0"/>
              <a:t> Wise Heart Disease </a:t>
            </a:r>
            <a:endParaRPr lang="en-IN" sz="1100"/>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9525">
              <a:solidFill>
                <a:schemeClr val="accent2"/>
              </a:solidFill>
              <a:round/>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6FFFF"/>
          </a:soli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rgbClr val="66FFFF"/>
          </a:soli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5"/>
        <c:spPr>
          <a:solidFill>
            <a:srgbClr val="66FFFF"/>
          </a:soli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6"/>
        <c:spPr>
          <a:solidFill>
            <a:srgbClr val="FF0000"/>
          </a:soli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7"/>
        <c:spPr>
          <a:solidFill>
            <a:srgbClr val="66FFFF"/>
          </a:soli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8"/>
        <c:spPr>
          <a:solidFill>
            <a:srgbClr val="FF0000"/>
          </a:soli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9"/>
        <c:spPr>
          <a:solidFill>
            <a:srgbClr val="66FFFF"/>
          </a:soli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cene3d>
            <a:camera prst="orthographicFront">
              <a:rot lat="0" lon="0" rev="0"/>
            </a:camera>
            <a:lightRig rig="threePt" dir="tl"/>
          </a:scene3d>
          <a:sp3d prstMaterial="plastic">
            <a:bevelT w="0" h="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Pivot_Analysis!$G$11:$G$12</c:f>
              <c:strCache>
                <c:ptCount val="1"/>
                <c:pt idx="0">
                  <c:v>0</c:v>
                </c:pt>
              </c:strCache>
            </c:strRef>
          </c:tx>
          <c:spPr>
            <a:solidFill>
              <a:srgbClr val="66FFFF"/>
            </a:soli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Pivot_Analysis!$F$13:$F$19</c:f>
              <c:strCache>
                <c:ptCount val="6"/>
                <c:pt idx="0">
                  <c:v>20-29</c:v>
                </c:pt>
                <c:pt idx="1">
                  <c:v>30-39</c:v>
                </c:pt>
                <c:pt idx="2">
                  <c:v>40-49</c:v>
                </c:pt>
                <c:pt idx="3">
                  <c:v>50-59</c:v>
                </c:pt>
                <c:pt idx="4">
                  <c:v>60-69</c:v>
                </c:pt>
                <c:pt idx="5">
                  <c:v>70-80</c:v>
                </c:pt>
              </c:strCache>
            </c:strRef>
          </c:cat>
          <c:val>
            <c:numRef>
              <c:f>Pivot_Analysis!$G$13:$G$19</c:f>
              <c:numCache>
                <c:formatCode>General</c:formatCode>
                <c:ptCount val="6"/>
                <c:pt idx="0">
                  <c:v>4</c:v>
                </c:pt>
                <c:pt idx="1">
                  <c:v>50</c:v>
                </c:pt>
                <c:pt idx="2">
                  <c:v>126</c:v>
                </c:pt>
                <c:pt idx="3">
                  <c:v>162</c:v>
                </c:pt>
                <c:pt idx="4">
                  <c:v>59</c:v>
                </c:pt>
                <c:pt idx="5">
                  <c:v>9</c:v>
                </c:pt>
              </c:numCache>
            </c:numRef>
          </c:val>
          <c:extLst>
            <c:ext xmlns:c16="http://schemas.microsoft.com/office/drawing/2014/chart" uri="{C3380CC4-5D6E-409C-BE32-E72D297353CC}">
              <c16:uniqueId val="{00000000-C5D8-4315-93AE-675E79F4EDE6}"/>
            </c:ext>
          </c:extLst>
        </c:ser>
        <c:ser>
          <c:idx val="1"/>
          <c:order val="1"/>
          <c:tx>
            <c:strRef>
              <c:f>Pivot_Analysis!$H$11:$H$12</c:f>
              <c:strCache>
                <c:ptCount val="1"/>
                <c:pt idx="0">
                  <c:v>1</c:v>
                </c:pt>
              </c:strCache>
            </c:strRef>
          </c:tx>
          <c:spPr>
            <a:solidFill>
              <a:srgbClr val="FF0000"/>
            </a:solidFill>
            <a:ln>
              <a:noFill/>
            </a:ln>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Pivot_Analysis!$F$13:$F$19</c:f>
              <c:strCache>
                <c:ptCount val="6"/>
                <c:pt idx="0">
                  <c:v>20-29</c:v>
                </c:pt>
                <c:pt idx="1">
                  <c:v>30-39</c:v>
                </c:pt>
                <c:pt idx="2">
                  <c:v>40-49</c:v>
                </c:pt>
                <c:pt idx="3">
                  <c:v>50-59</c:v>
                </c:pt>
                <c:pt idx="4">
                  <c:v>60-69</c:v>
                </c:pt>
                <c:pt idx="5">
                  <c:v>70-80</c:v>
                </c:pt>
              </c:strCache>
            </c:strRef>
          </c:cat>
          <c:val>
            <c:numRef>
              <c:f>Pivot_Analysis!$H$13:$H$19</c:f>
              <c:numCache>
                <c:formatCode>General</c:formatCode>
                <c:ptCount val="6"/>
                <c:pt idx="1">
                  <c:v>26</c:v>
                </c:pt>
                <c:pt idx="2">
                  <c:v>85</c:v>
                </c:pt>
                <c:pt idx="3">
                  <c:v>212</c:v>
                </c:pt>
                <c:pt idx="4">
                  <c:v>163</c:v>
                </c:pt>
                <c:pt idx="5">
                  <c:v>22</c:v>
                </c:pt>
              </c:numCache>
            </c:numRef>
          </c:val>
          <c:extLst>
            <c:ext xmlns:c16="http://schemas.microsoft.com/office/drawing/2014/chart" uri="{C3380CC4-5D6E-409C-BE32-E72D297353CC}">
              <c16:uniqueId val="{00000001-592B-4DC5-8F29-DF571AFFB3D0}"/>
            </c:ext>
          </c:extLst>
        </c:ser>
        <c:dLbls>
          <c:dLblPos val="outEnd"/>
          <c:showLegendKey val="0"/>
          <c:showVal val="1"/>
          <c:showCatName val="0"/>
          <c:showSerName val="0"/>
          <c:showPercent val="0"/>
          <c:showBubbleSize val="0"/>
        </c:dLbls>
        <c:gapWidth val="100"/>
        <c:overlap val="-24"/>
        <c:axId val="133034223"/>
        <c:axId val="1877246544"/>
      </c:barChart>
      <c:catAx>
        <c:axId val="133034223"/>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77246544"/>
        <c:crosses val="autoZero"/>
        <c:auto val="1"/>
        <c:lblAlgn val="ctr"/>
        <c:lblOffset val="100"/>
        <c:noMultiLvlLbl val="0"/>
      </c:catAx>
      <c:valAx>
        <c:axId val="1877246544"/>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303422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bg2"/>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[Heart failure prediction.xlsx]Pivot_Analysis!PivotTable3</c:name>
    <c:fmtId val="16"/>
  </c:pivotSource>
  <c:chart>
    <c:title>
      <c:tx>
        <c:rich>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r>
              <a:rPr lang="en-IN" sz="1100" b="1"/>
              <a:t>Heart</a:t>
            </a:r>
            <a:r>
              <a:rPr lang="en-IN" sz="1100" b="1" baseline="0"/>
              <a:t> Disease by Gender</a:t>
            </a:r>
          </a:p>
        </c:rich>
      </c:tx>
      <c:overlay val="0"/>
      <c:spPr>
        <a:noFill/>
        <a:ln>
          <a:noFill/>
        </a:ln>
        <a:effectLst/>
      </c:spPr>
      <c:txPr>
        <a:bodyPr rot="0" spcFirstLastPara="1" vertOverflow="ellipsis" vert="horz" wrap="square" anchor="ctr" anchorCtr="1"/>
        <a:lstStyle/>
        <a:p>
          <a:pPr>
            <a:defRPr sz="1100" b="1"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66FFFF"/>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3"/>
        <c:spPr>
          <a:solidFill>
            <a:srgbClr val="7030A0"/>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4"/>
        <c:spPr>
          <a:solidFill>
            <a:srgbClr val="66FFFF"/>
          </a:solidFill>
          <a:ln>
            <a:noFill/>
          </a:ln>
          <a:effectLst/>
        </c:spPr>
      </c:pivotFmt>
      <c:pivotFmt>
        <c:idx val="5"/>
        <c:spPr>
          <a:solidFill>
            <a:srgbClr val="FF0000"/>
          </a:solidFill>
          <a:ln>
            <a:noFill/>
          </a:ln>
          <a:effectLst/>
        </c:spPr>
      </c:pivotFmt>
      <c:pivotFmt>
        <c:idx val="6"/>
        <c:spPr>
          <a:solidFill>
            <a:schemeClr val="accent1"/>
          </a:solidFill>
          <a:ln>
            <a:noFill/>
          </a:ln>
          <a:effectLst/>
        </c:spPr>
        <c:marker>
          <c:symbol val="none"/>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7"/>
        <c:spPr>
          <a:solidFill>
            <a:srgbClr val="7030A0"/>
          </a:solidFill>
          <a:ln>
            <a:noFill/>
          </a:ln>
          <a:effectLst/>
        </c:spPr>
      </c:pivotFmt>
      <c:pivotFmt>
        <c:idx val="8"/>
        <c:spPr>
          <a:solidFill>
            <a:srgbClr val="7030A0"/>
          </a:solidFill>
          <a:ln>
            <a:noFill/>
          </a:ln>
          <a:effectLst/>
        </c:spPr>
      </c:pivotFmt>
    </c:pivotFmts>
    <c:plotArea>
      <c:layout/>
      <c:pieChart>
        <c:varyColors val="1"/>
        <c:ser>
          <c:idx val="0"/>
          <c:order val="0"/>
          <c:tx>
            <c:strRef>
              <c:f>Pivot_Analysis!$E$4:$E$5</c:f>
              <c:strCache>
                <c:ptCount val="1"/>
                <c:pt idx="0">
                  <c:v>0</c:v>
                </c:pt>
              </c:strCache>
            </c:strRef>
          </c:tx>
          <c:spPr>
            <a:solidFill>
              <a:srgbClr val="66FFFF"/>
            </a:solidFill>
          </c:spPr>
          <c:dPt>
            <c:idx val="0"/>
            <c:bubble3D val="0"/>
            <c:spPr>
              <a:solidFill>
                <a:srgbClr val="FF0000"/>
              </a:solidFill>
              <a:ln>
                <a:noFill/>
              </a:ln>
              <a:effectLst/>
            </c:spPr>
            <c:extLst>
              <c:ext xmlns:c16="http://schemas.microsoft.com/office/drawing/2014/chart" uri="{C3380CC4-5D6E-409C-BE32-E72D297353CC}">
                <c16:uniqueId val="{00000001-23DD-4994-B468-B1589E5D6407}"/>
              </c:ext>
            </c:extLst>
          </c:dPt>
          <c:dPt>
            <c:idx val="1"/>
            <c:bubble3D val="0"/>
            <c:spPr>
              <a:solidFill>
                <a:srgbClr val="66FFFF"/>
              </a:solidFill>
              <a:ln>
                <a:noFill/>
              </a:ln>
              <a:effectLst/>
            </c:spPr>
            <c:extLst>
              <c:ext xmlns:c16="http://schemas.microsoft.com/office/drawing/2014/chart" uri="{C3380CC4-5D6E-409C-BE32-E72D297353CC}">
                <c16:uniqueId val="{00000000-23DD-4994-B468-B1589E5D6407}"/>
              </c:ext>
            </c:extLst>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Pivot_Analysis!$D$6:$D$8</c:f>
              <c:strCache>
                <c:ptCount val="2"/>
                <c:pt idx="0">
                  <c:v>F</c:v>
                </c:pt>
                <c:pt idx="1">
                  <c:v>M</c:v>
                </c:pt>
              </c:strCache>
            </c:strRef>
          </c:cat>
          <c:val>
            <c:numRef>
              <c:f>Pivot_Analysis!$E$6:$E$8</c:f>
              <c:numCache>
                <c:formatCode>General</c:formatCode>
                <c:ptCount val="2"/>
                <c:pt idx="0">
                  <c:v>143</c:v>
                </c:pt>
                <c:pt idx="1">
                  <c:v>267</c:v>
                </c:pt>
              </c:numCache>
            </c:numRef>
          </c:val>
          <c:extLst>
            <c:ext xmlns:c16="http://schemas.microsoft.com/office/drawing/2014/chart" uri="{C3380CC4-5D6E-409C-BE32-E72D297353CC}">
              <c16:uniqueId val="{00000000-69F7-4FCD-AC3E-80D122949433}"/>
            </c:ext>
          </c:extLst>
        </c:ser>
        <c:ser>
          <c:idx val="1"/>
          <c:order val="1"/>
          <c:tx>
            <c:strRef>
              <c:f>Pivot_Analysis!$F$4:$F$5</c:f>
              <c:strCache>
                <c:ptCount val="1"/>
                <c:pt idx="0">
                  <c:v>1</c:v>
                </c:pt>
              </c:strCache>
            </c:strRef>
          </c:tx>
          <c:spPr>
            <a:solidFill>
              <a:srgbClr val="7030A0"/>
            </a:solidFill>
          </c:spPr>
          <c:dPt>
            <c:idx val="0"/>
            <c:bubble3D val="0"/>
            <c:spPr>
              <a:solidFill>
                <a:srgbClr val="7030A0"/>
              </a:solidFill>
              <a:ln>
                <a:noFill/>
              </a:ln>
              <a:effectLst/>
            </c:spPr>
          </c:dPt>
          <c:dPt>
            <c:idx val="1"/>
            <c:bubble3D val="0"/>
            <c:spPr>
              <a:solidFill>
                <a:srgbClr val="7030A0"/>
              </a:solidFill>
              <a:ln>
                <a:noFill/>
              </a:ln>
              <a:effectLst/>
            </c:spPr>
          </c:dPt>
          <c:dLbls>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ctr"/>
            <c:showLegendKey val="0"/>
            <c:showVal val="0"/>
            <c:showCatName val="1"/>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Pivot_Analysis!$D$6:$D$8</c:f>
              <c:strCache>
                <c:ptCount val="2"/>
                <c:pt idx="0">
                  <c:v>F</c:v>
                </c:pt>
                <c:pt idx="1">
                  <c:v>M</c:v>
                </c:pt>
              </c:strCache>
            </c:strRef>
          </c:cat>
          <c:val>
            <c:numRef>
              <c:f>Pivot_Analysis!$F$6:$F$8</c:f>
              <c:numCache>
                <c:formatCode>General</c:formatCode>
                <c:ptCount val="2"/>
                <c:pt idx="0">
                  <c:v>50</c:v>
                </c:pt>
                <c:pt idx="1">
                  <c:v>458</c:v>
                </c:pt>
              </c:numCache>
            </c:numRef>
          </c:val>
          <c:extLst>
            <c:ext xmlns:c16="http://schemas.microsoft.com/office/drawing/2014/chart" uri="{C3380CC4-5D6E-409C-BE32-E72D297353CC}">
              <c16:uniqueId val="{00000009-4598-4B7E-BEB8-3C070BF822E8}"/>
            </c:ext>
          </c:extLst>
        </c:ser>
        <c:dLbls>
          <c:dLblPos val="ctr"/>
          <c:showLegendKey val="0"/>
          <c:showVal val="0"/>
          <c:showCatName val="0"/>
          <c:showSerName val="0"/>
          <c:showPercent val="0"/>
          <c:showBubbleSize val="0"/>
          <c:showLeaderLines val="0"/>
        </c:dLbls>
        <c:firstSliceAng val="0"/>
      </c:pie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[Heart failure prediction.xlsx]Pivot_Analysis!PivotTable5</c:name>
    <c:fmtId val="25"/>
  </c:pivotSource>
  <c:chart>
    <c:title>
      <c:tx>
        <c:rich>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r>
              <a:rPr lang="en-IN" sz="1100" b="1" i="0" u="none" strike="noStrike" kern="1200" spc="0" baseline="0">
                <a:solidFill>
                  <a:sysClr val="windowText" lastClr="000000">
                    <a:lumMod val="65000"/>
                    <a:lumOff val="35000"/>
                  </a:sysClr>
                </a:solidFill>
              </a:rPr>
              <a:t>Exercise Angina vs Heart Disease </a:t>
            </a:r>
          </a:p>
        </c:rich>
      </c:tx>
      <c:overlay val="0"/>
      <c:spPr>
        <a:noFill/>
        <a:ln>
          <a:noFill/>
        </a:ln>
        <a:effectLst/>
      </c:spPr>
      <c:txPr>
        <a:bodyPr rot="0" spcFirstLastPara="1" vertOverflow="ellipsis" vert="horz" wrap="square" anchor="ctr" anchorCtr="1"/>
        <a:lstStyle/>
        <a:p>
          <a:pPr>
            <a:defRPr sz="11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66FFFF"/>
          </a:solidFill>
          <a:ln>
            <a:solidFill>
              <a:srgbClr val="66FFFF"/>
            </a:solidFill>
          </a:ln>
          <a:effectLst/>
        </c:spPr>
        <c:marker>
          <c:symbol val="none"/>
        </c:marker>
        <c:dLbl>
          <c:idx val="0"/>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FF0000"/>
          </a:solidFill>
          <a:ln>
            <a:solidFill>
              <a:srgbClr val="FF0000"/>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Pivot_Analysis!$B$11:$B$12</c:f>
              <c:strCache>
                <c:ptCount val="1"/>
                <c:pt idx="0">
                  <c:v>0</c:v>
                </c:pt>
              </c:strCache>
            </c:strRef>
          </c:tx>
          <c:spPr>
            <a:solidFill>
              <a:srgbClr val="66FFFF"/>
            </a:solidFill>
            <a:ln>
              <a:solidFill>
                <a:srgbClr val="66FFFF"/>
              </a:solidFill>
            </a:ln>
            <a:effectLst/>
          </c:spPr>
          <c:invertIfNegative val="0"/>
          <c:dLbls>
            <c:numFmt formatCode="General"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Pivot_Analysis!$A$13:$A$15</c:f>
              <c:strCache>
                <c:ptCount val="2"/>
                <c:pt idx="0">
                  <c:v>N</c:v>
                </c:pt>
                <c:pt idx="1">
                  <c:v>Y</c:v>
                </c:pt>
              </c:strCache>
            </c:strRef>
          </c:cat>
          <c:val>
            <c:numRef>
              <c:f>Pivot_Analysis!$B$13:$B$15</c:f>
              <c:numCache>
                <c:formatCode>General</c:formatCode>
                <c:ptCount val="2"/>
                <c:pt idx="0">
                  <c:v>355</c:v>
                </c:pt>
                <c:pt idx="1">
                  <c:v>55</c:v>
                </c:pt>
              </c:numCache>
            </c:numRef>
          </c:val>
          <c:extLst>
            <c:ext xmlns:c16="http://schemas.microsoft.com/office/drawing/2014/chart" uri="{C3380CC4-5D6E-409C-BE32-E72D297353CC}">
              <c16:uniqueId val="{00000000-CE33-45DC-A478-FEF5E9B730DD}"/>
            </c:ext>
          </c:extLst>
        </c:ser>
        <c:ser>
          <c:idx val="1"/>
          <c:order val="1"/>
          <c:tx>
            <c:strRef>
              <c:f>Pivot_Analysis!$C$11:$C$12</c:f>
              <c:strCache>
                <c:ptCount val="1"/>
                <c:pt idx="0">
                  <c:v>1</c:v>
                </c:pt>
              </c:strCache>
            </c:strRef>
          </c:tx>
          <c:spPr>
            <a:solidFill>
              <a:srgbClr val="FF0000"/>
            </a:solidFill>
            <a:ln>
              <a:solidFill>
                <a:srgbClr val="FF0000"/>
              </a:solid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Pivot_Analysis!$A$13:$A$15</c:f>
              <c:strCache>
                <c:ptCount val="2"/>
                <c:pt idx="0">
                  <c:v>N</c:v>
                </c:pt>
                <c:pt idx="1">
                  <c:v>Y</c:v>
                </c:pt>
              </c:strCache>
            </c:strRef>
          </c:cat>
          <c:val>
            <c:numRef>
              <c:f>Pivot_Analysis!$C$13:$C$15</c:f>
              <c:numCache>
                <c:formatCode>General</c:formatCode>
                <c:ptCount val="2"/>
                <c:pt idx="0">
                  <c:v>192</c:v>
                </c:pt>
                <c:pt idx="1">
                  <c:v>316</c:v>
                </c:pt>
              </c:numCache>
            </c:numRef>
          </c:val>
          <c:extLst>
            <c:ext xmlns:c16="http://schemas.microsoft.com/office/drawing/2014/chart" uri="{C3380CC4-5D6E-409C-BE32-E72D297353CC}">
              <c16:uniqueId val="{00000001-30CA-42DD-87FF-9BA46D5034A1}"/>
            </c:ext>
          </c:extLst>
        </c:ser>
        <c:dLbls>
          <c:dLblPos val="outEnd"/>
          <c:showLegendKey val="0"/>
          <c:showVal val="1"/>
          <c:showCatName val="0"/>
          <c:showSerName val="0"/>
          <c:showPercent val="0"/>
          <c:showBubbleSize val="0"/>
        </c:dLbls>
        <c:gapWidth val="150"/>
        <c:axId val="421001407"/>
        <c:axId val="421004767"/>
      </c:barChart>
      <c:catAx>
        <c:axId val="421001407"/>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004767"/>
        <c:crosses val="autoZero"/>
        <c:auto val="1"/>
        <c:lblAlgn val="ctr"/>
        <c:lblOffset val="100"/>
        <c:noMultiLvlLbl val="0"/>
      </c:catAx>
      <c:valAx>
        <c:axId val="421004767"/>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21001407"/>
        <c:crosses val="autoZero"/>
        <c:crossBetween val="between"/>
      </c:valAx>
      <c:spPr>
        <a:noFill/>
        <a:ln>
          <a:solidFill>
            <a:schemeClr val="accent5">
              <a:lumMod val="60000"/>
              <a:lumOff val="40000"/>
            </a:schemeClr>
          </a:solid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[Heart failure prediction.xlsx]Pivot_Analysis!PivotTable1</c:name>
    <c:fmtId val="90"/>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spc="0" baseline="0">
                <a:solidFill>
                  <a:sysClr val="windowText" lastClr="000000">
                    <a:lumMod val="65000"/>
                    <a:lumOff val="35000"/>
                  </a:sysClr>
                </a:solidFill>
                <a:latin typeface="+mn-lt"/>
                <a:ea typeface="+mn-ea"/>
                <a:cs typeface="+mn-cs"/>
              </a:defRPr>
            </a:pPr>
            <a:r>
              <a:rPr lang="en-US" sz="1100" b="1" i="0" u="none" strike="noStrike" kern="1200" spc="0" baseline="0">
                <a:solidFill>
                  <a:srgbClr val="44546A"/>
                </a:solidFill>
              </a:rPr>
              <a:t>Overall Heart Disease Distribution</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1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66FFFF"/>
          </a:solidFill>
          <a:ln>
            <a:noFill/>
          </a:ln>
          <a:effectLst/>
        </c:spPr>
      </c:pivotFmt>
      <c:pivotFmt>
        <c:idx val="4"/>
        <c:spPr>
          <a:solidFill>
            <a:srgbClr val="FF0000"/>
          </a:solidFill>
          <a:ln>
            <a:noFill/>
          </a:ln>
          <a:effectLst/>
        </c:spPr>
      </c:pivotFmt>
    </c:pivotFmts>
    <c:plotArea>
      <c:layout/>
      <c:barChart>
        <c:barDir val="col"/>
        <c:grouping val="clustered"/>
        <c:varyColors val="0"/>
        <c:ser>
          <c:idx val="0"/>
          <c:order val="0"/>
          <c:tx>
            <c:strRef>
              <c:f>Pivot_Analysis!$B$4</c:f>
              <c:strCache>
                <c:ptCount val="1"/>
                <c:pt idx="0">
                  <c:v>Total</c:v>
                </c:pt>
              </c:strCache>
            </c:strRef>
          </c:tx>
          <c:spPr>
            <a:solidFill>
              <a:schemeClr val="accent1"/>
            </a:solidFill>
            <a:ln>
              <a:noFill/>
            </a:ln>
            <a:effectLst/>
          </c:spPr>
          <c:invertIfNegative val="0"/>
          <c:dPt>
            <c:idx val="0"/>
            <c:invertIfNegative val="0"/>
            <c:bubble3D val="0"/>
            <c:spPr>
              <a:solidFill>
                <a:srgbClr val="66FFFF"/>
              </a:solidFill>
              <a:ln>
                <a:noFill/>
              </a:ln>
              <a:effectLst/>
            </c:spPr>
            <c:extLst>
              <c:ext xmlns:c16="http://schemas.microsoft.com/office/drawing/2014/chart" uri="{C3380CC4-5D6E-409C-BE32-E72D297353CC}">
                <c16:uniqueId val="{00000001-8070-4F97-AFA5-CA6BB1629F9B}"/>
              </c:ext>
            </c:extLst>
          </c:dPt>
          <c:dPt>
            <c:idx val="1"/>
            <c:invertIfNegative val="0"/>
            <c:bubble3D val="0"/>
            <c:spPr>
              <a:solidFill>
                <a:srgbClr val="FF0000"/>
              </a:solidFill>
              <a:ln>
                <a:noFill/>
              </a:ln>
              <a:effectLst/>
            </c:spPr>
            <c:extLst>
              <c:ext xmlns:c16="http://schemas.microsoft.com/office/drawing/2014/chart" uri="{C3380CC4-5D6E-409C-BE32-E72D297353CC}">
                <c16:uniqueId val="{00000002-8070-4F97-AFA5-CA6BB1629F9B}"/>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Pivot_Analysis!$A$5:$A$7</c:f>
              <c:strCache>
                <c:ptCount val="2"/>
                <c:pt idx="0">
                  <c:v>0</c:v>
                </c:pt>
                <c:pt idx="1">
                  <c:v>1</c:v>
                </c:pt>
              </c:strCache>
            </c:strRef>
          </c:cat>
          <c:val>
            <c:numRef>
              <c:f>Pivot_Analysis!$B$5:$B$7</c:f>
              <c:numCache>
                <c:formatCode>General</c:formatCode>
                <c:ptCount val="2"/>
                <c:pt idx="0">
                  <c:v>410</c:v>
                </c:pt>
                <c:pt idx="1">
                  <c:v>508</c:v>
                </c:pt>
              </c:numCache>
            </c:numRef>
          </c:val>
          <c:extLst>
            <c:ext xmlns:c16="http://schemas.microsoft.com/office/drawing/2014/chart" uri="{C3380CC4-5D6E-409C-BE32-E72D297353CC}">
              <c16:uniqueId val="{00000000-8070-4F97-AFA5-CA6BB1629F9B}"/>
            </c:ext>
          </c:extLst>
        </c:ser>
        <c:dLbls>
          <c:showLegendKey val="0"/>
          <c:showVal val="0"/>
          <c:showCatName val="0"/>
          <c:showSerName val="0"/>
          <c:showPercent val="0"/>
          <c:showBubbleSize val="0"/>
        </c:dLbls>
        <c:gapWidth val="50"/>
        <c:overlap val="-27"/>
        <c:axId val="183564832"/>
        <c:axId val="183548512"/>
      </c:barChart>
      <c:catAx>
        <c:axId val="18356483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48512"/>
        <c:crosses val="autoZero"/>
        <c:auto val="1"/>
        <c:lblAlgn val="ctr"/>
        <c:lblOffset val="100"/>
        <c:noMultiLvlLbl val="0"/>
      </c:catAx>
      <c:valAx>
        <c:axId val="183548512"/>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35648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8">
  <a:schemeClr val="accent5"/>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8.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 Id="rId4" Type="http://schemas.openxmlformats.org/officeDocument/2006/relationships/chart" Target="../charts/chart7.xml"/></Relationships>
</file>

<file path=xl/drawings/_rels/drawing3.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image" Target="../media/image10.svg"/><Relationship Id="rId3" Type="http://schemas.openxmlformats.org/officeDocument/2006/relationships/hyperlink" Target="#heart!A1"/><Relationship Id="rId7" Type="http://schemas.openxmlformats.org/officeDocument/2006/relationships/image" Target="../media/image5.png"/><Relationship Id="rId12" Type="http://schemas.openxmlformats.org/officeDocument/2006/relationships/image" Target="../media/image9.png"/><Relationship Id="rId17" Type="http://schemas.openxmlformats.org/officeDocument/2006/relationships/chart" Target="../charts/chart11.xml"/><Relationship Id="rId2" Type="http://schemas.openxmlformats.org/officeDocument/2006/relationships/image" Target="../media/image2.svg"/><Relationship Id="rId16" Type="http://schemas.openxmlformats.org/officeDocument/2006/relationships/chart" Target="../charts/chart10.xml"/><Relationship Id="rId1" Type="http://schemas.openxmlformats.org/officeDocument/2006/relationships/image" Target="../media/image1.png"/><Relationship Id="rId6" Type="http://schemas.openxmlformats.org/officeDocument/2006/relationships/hyperlink" Target="#Correlation_matrix!A1"/><Relationship Id="rId11" Type="http://schemas.openxmlformats.org/officeDocument/2006/relationships/hyperlink" Target="#Histograms!A1"/><Relationship Id="rId5" Type="http://schemas.openxmlformats.org/officeDocument/2006/relationships/image" Target="../media/image4.svg"/><Relationship Id="rId15" Type="http://schemas.openxmlformats.org/officeDocument/2006/relationships/chart" Target="../charts/chart9.xml"/><Relationship Id="rId10" Type="http://schemas.openxmlformats.org/officeDocument/2006/relationships/image" Target="../media/image8.png"/><Relationship Id="rId4" Type="http://schemas.openxmlformats.org/officeDocument/2006/relationships/image" Target="../media/image3.png"/><Relationship Id="rId9" Type="http://schemas.openxmlformats.org/officeDocument/2006/relationships/image" Target="../media/image7.png"/><Relationship Id="rId1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3</xdr:col>
      <xdr:colOff>7620</xdr:colOff>
      <xdr:row>0</xdr:row>
      <xdr:rowOff>179070</xdr:rowOff>
    </xdr:from>
    <xdr:to>
      <xdr:col>9</xdr:col>
      <xdr:colOff>601980</xdr:colOff>
      <xdr:row>14</xdr:row>
      <xdr:rowOff>0</xdr:rowOff>
    </xdr:to>
    <xdr:graphicFrame macro="">
      <xdr:nvGraphicFramePr>
        <xdr:cNvPr id="2" name="Chart 1">
          <a:extLst>
            <a:ext uri="{FF2B5EF4-FFF2-40B4-BE49-F238E27FC236}">
              <a16:creationId xmlns:a16="http://schemas.microsoft.com/office/drawing/2014/main" id="{4B7E34D4-96F4-386B-93E6-C7B2EAF49C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0</xdr:colOff>
      <xdr:row>17</xdr:row>
      <xdr:rowOff>179070</xdr:rowOff>
    </xdr:from>
    <xdr:to>
      <xdr:col>10</xdr:col>
      <xdr:colOff>7620</xdr:colOff>
      <xdr:row>31</xdr:row>
      <xdr:rowOff>38100</xdr:rowOff>
    </xdr:to>
    <xdr:graphicFrame macro="">
      <xdr:nvGraphicFramePr>
        <xdr:cNvPr id="3" name="Chart 2">
          <a:extLst>
            <a:ext uri="{FF2B5EF4-FFF2-40B4-BE49-F238E27FC236}">
              <a16:creationId xmlns:a16="http://schemas.microsoft.com/office/drawing/2014/main" id="{BD1F9065-D367-DF38-B6DF-E2829AFCF4A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0</xdr:colOff>
      <xdr:row>34</xdr:row>
      <xdr:rowOff>3810</xdr:rowOff>
    </xdr:from>
    <xdr:to>
      <xdr:col>10</xdr:col>
      <xdr:colOff>0</xdr:colOff>
      <xdr:row>47</xdr:row>
      <xdr:rowOff>0</xdr:rowOff>
    </xdr:to>
    <xdr:graphicFrame macro="">
      <xdr:nvGraphicFramePr>
        <xdr:cNvPr id="4" name="Chart 3">
          <a:extLst>
            <a:ext uri="{FF2B5EF4-FFF2-40B4-BE49-F238E27FC236}">
              <a16:creationId xmlns:a16="http://schemas.microsoft.com/office/drawing/2014/main" id="{C87C17FB-79E5-E235-9FE6-12493866135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24</xdr:col>
      <xdr:colOff>91440</xdr:colOff>
      <xdr:row>2</xdr:row>
      <xdr:rowOff>190500</xdr:rowOff>
    </xdr:to>
    <xdr:sp macro="" textlink="">
      <xdr:nvSpPr>
        <xdr:cNvPr id="4" name="Rectangle 3">
          <a:extLst>
            <a:ext uri="{FF2B5EF4-FFF2-40B4-BE49-F238E27FC236}">
              <a16:creationId xmlns:a16="http://schemas.microsoft.com/office/drawing/2014/main" id="{03275451-DCCF-4640-E135-85B00BA68841}"/>
            </a:ext>
          </a:extLst>
        </xdr:cNvPr>
        <xdr:cNvSpPr/>
      </xdr:nvSpPr>
      <xdr:spPr>
        <a:xfrm>
          <a:off x="0" y="0"/>
          <a:ext cx="14721840" cy="556260"/>
        </a:xfrm>
        <a:prstGeom prst="rect">
          <a:avLst/>
        </a:prstGeom>
        <a:solidFill>
          <a:srgbClr val="002060"/>
        </a:solidFill>
        <a:ln>
          <a:solidFill>
            <a:schemeClr val="bg2">
              <a:alpha val="97000"/>
            </a:schemeClr>
          </a:solidFill>
        </a:ln>
        <a:effectLst>
          <a:outerShdw blurRad="50800" dist="38100" dir="5400000" algn="t"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2400">
              <a:solidFill>
                <a:schemeClr val="bg1"/>
              </a:solidFill>
              <a:latin typeface="Cooper Black" panose="0208090404030B020404" pitchFamily="18" charset="0"/>
            </a:rPr>
            <a:t>                                                     HEART DISEASE ANALYSIS DASHBOARD </a:t>
          </a:r>
        </a:p>
      </xdr:txBody>
    </xdr:sp>
    <xdr:clientData/>
  </xdr:twoCellAnchor>
  <xdr:twoCellAnchor>
    <xdr:from>
      <xdr:col>4</xdr:col>
      <xdr:colOff>114300</xdr:colOff>
      <xdr:row>7</xdr:row>
      <xdr:rowOff>133350</xdr:rowOff>
    </xdr:from>
    <xdr:to>
      <xdr:col>18</xdr:col>
      <xdr:colOff>199260</xdr:colOff>
      <xdr:row>32</xdr:row>
      <xdr:rowOff>60090</xdr:rowOff>
    </xdr:to>
    <xdr:grpSp>
      <xdr:nvGrpSpPr>
        <xdr:cNvPr id="19" name="Group 18">
          <a:extLst>
            <a:ext uri="{FF2B5EF4-FFF2-40B4-BE49-F238E27FC236}">
              <a16:creationId xmlns:a16="http://schemas.microsoft.com/office/drawing/2014/main" id="{4B06C14B-43D1-E1B1-C0C4-9B2BE6390D1B}"/>
            </a:ext>
          </a:extLst>
        </xdr:cNvPr>
        <xdr:cNvGrpSpPr/>
      </xdr:nvGrpSpPr>
      <xdr:grpSpPr>
        <a:xfrm>
          <a:off x="2552700" y="1474470"/>
          <a:ext cx="8619360" cy="4498740"/>
          <a:chOff x="68580" y="636270"/>
          <a:chExt cx="8619360" cy="4498740"/>
        </a:xfrm>
      </xdr:grpSpPr>
      <xdr:graphicFrame macro="">
        <xdr:nvGraphicFramePr>
          <xdr:cNvPr id="9" name="Chart 3">
            <a:extLst>
              <a:ext uri="{FF2B5EF4-FFF2-40B4-BE49-F238E27FC236}">
                <a16:creationId xmlns:a16="http://schemas.microsoft.com/office/drawing/2014/main" id="{595DDE08-FF0D-FFA9-8669-0F2C3F1802E4}"/>
              </a:ext>
            </a:extLst>
          </xdr:cNvPr>
          <xdr:cNvGraphicFramePr/>
        </xdr:nvGraphicFramePr>
        <xdr:xfrm>
          <a:off x="4396740" y="636270"/>
          <a:ext cx="4291200" cy="2235600"/>
        </xdr:xfrm>
        <a:graphic>
          <a:graphicData uri="http://schemas.openxmlformats.org/drawingml/2006/chart">
            <c:chart xmlns:c="http://schemas.openxmlformats.org/drawingml/2006/chart" xmlns:r="http://schemas.openxmlformats.org/officeDocument/2006/relationships" r:id="rId1"/>
          </a:graphicData>
        </a:graphic>
      </xdr:graphicFrame>
      <xdr:graphicFrame macro="">
        <xdr:nvGraphicFramePr>
          <xdr:cNvPr id="10" name="Chart 4">
            <a:extLst>
              <a:ext uri="{FF2B5EF4-FFF2-40B4-BE49-F238E27FC236}">
                <a16:creationId xmlns:a16="http://schemas.microsoft.com/office/drawing/2014/main" id="{E542FEBC-30F2-9F4F-097D-B9E3781EFE3C}"/>
              </a:ext>
            </a:extLst>
          </xdr:cNvPr>
          <xdr:cNvGraphicFramePr/>
        </xdr:nvGraphicFramePr>
        <xdr:xfrm>
          <a:off x="4396740" y="2899410"/>
          <a:ext cx="4291200" cy="2235600"/>
        </xdr:xfrm>
        <a:graphic>
          <a:graphicData uri="http://schemas.openxmlformats.org/drawingml/2006/chart">
            <c:chart xmlns:c="http://schemas.openxmlformats.org/drawingml/2006/chart" xmlns:r="http://schemas.openxmlformats.org/officeDocument/2006/relationships" r:id="rId2"/>
          </a:graphicData>
        </a:graphic>
      </xdr:graphicFrame>
      <xdr:graphicFrame macro="">
        <xdr:nvGraphicFramePr>
          <xdr:cNvPr id="11" name="Chart 5">
            <a:extLst>
              <a:ext uri="{FF2B5EF4-FFF2-40B4-BE49-F238E27FC236}">
                <a16:creationId xmlns:a16="http://schemas.microsoft.com/office/drawing/2014/main" id="{D71A00EE-B8D6-915F-F377-93F850007D60}"/>
              </a:ext>
            </a:extLst>
          </xdr:cNvPr>
          <xdr:cNvGraphicFramePr/>
        </xdr:nvGraphicFramePr>
        <xdr:xfrm>
          <a:off x="68580" y="2899410"/>
          <a:ext cx="4291200" cy="2235600"/>
        </xdr:xfrm>
        <a:graphic>
          <a:graphicData uri="http://schemas.openxmlformats.org/drawingml/2006/chart">
            <c:chart xmlns:c="http://schemas.openxmlformats.org/drawingml/2006/chart" xmlns:r="http://schemas.openxmlformats.org/officeDocument/2006/relationships" r:id="rId3"/>
          </a:graphicData>
        </a:graphic>
      </xdr:graphicFrame>
      <xdr:graphicFrame macro="">
        <xdr:nvGraphicFramePr>
          <xdr:cNvPr id="15" name="Chart 7">
            <a:extLst>
              <a:ext uri="{FF2B5EF4-FFF2-40B4-BE49-F238E27FC236}">
                <a16:creationId xmlns:a16="http://schemas.microsoft.com/office/drawing/2014/main" id="{6EEE7E52-CCBA-208B-BFEE-0BCB0AB0D013}"/>
              </a:ext>
            </a:extLst>
          </xdr:cNvPr>
          <xdr:cNvGraphicFramePr/>
        </xdr:nvGraphicFramePr>
        <xdr:xfrm>
          <a:off x="68580" y="636270"/>
          <a:ext cx="4291200" cy="2235600"/>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editAs="oneCell">
    <xdr:from>
      <xdr:col>9</xdr:col>
      <xdr:colOff>99060</xdr:colOff>
      <xdr:row>3</xdr:row>
      <xdr:rowOff>68580</xdr:rowOff>
    </xdr:from>
    <xdr:to>
      <xdr:col>13</xdr:col>
      <xdr:colOff>180660</xdr:colOff>
      <xdr:row>7</xdr:row>
      <xdr:rowOff>57060</xdr:rowOff>
    </xdr:to>
    <mc:AlternateContent xmlns:mc="http://schemas.openxmlformats.org/markup-compatibility/2006" xmlns:a14="http://schemas.microsoft.com/office/drawing/2010/main">
      <mc:Choice Requires="a14">
        <xdr:graphicFrame macro="">
          <xdr:nvGraphicFramePr>
            <xdr:cNvPr id="16" name="ExerciseAngina">
              <a:extLst>
                <a:ext uri="{FF2B5EF4-FFF2-40B4-BE49-F238E27FC236}">
                  <a16:creationId xmlns:a16="http://schemas.microsoft.com/office/drawing/2014/main" id="{101BDBC6-C686-4C0A-949E-EF266CAFB641}"/>
                </a:ext>
              </a:extLst>
            </xdr:cNvPr>
            <xdr:cNvGraphicFramePr/>
          </xdr:nvGraphicFramePr>
          <xdr:xfrm>
            <a:off x="0" y="0"/>
            <a:ext cx="0" cy="0"/>
          </xdr:xfrm>
          <a:graphic>
            <a:graphicData uri="http://schemas.microsoft.com/office/drawing/2010/slicer">
              <sle:slicer xmlns:sle="http://schemas.microsoft.com/office/drawing/2010/slicer" name="ExerciseAngina"/>
            </a:graphicData>
          </a:graphic>
        </xdr:graphicFrame>
      </mc:Choice>
      <mc:Fallback xmlns="">
        <xdr:sp macro="" textlink="">
          <xdr:nvSpPr>
            <xdr:cNvPr id="0" name=""/>
            <xdr:cNvSpPr>
              <a:spLocks noTextEdit="1"/>
            </xdr:cNvSpPr>
          </xdr:nvSpPr>
          <xdr:spPr>
            <a:xfrm>
              <a:off x="5585460" y="678180"/>
              <a:ext cx="2520000" cy="7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4</xdr:col>
      <xdr:colOff>129540</xdr:colOff>
      <xdr:row>2</xdr:row>
      <xdr:rowOff>205740</xdr:rowOff>
    </xdr:from>
    <xdr:to>
      <xdr:col>8</xdr:col>
      <xdr:colOff>211140</xdr:colOff>
      <xdr:row>7</xdr:row>
      <xdr:rowOff>64679</xdr:rowOff>
    </xdr:to>
    <mc:AlternateContent xmlns:mc="http://schemas.openxmlformats.org/markup-compatibility/2006" xmlns:a14="http://schemas.microsoft.com/office/drawing/2010/main">
      <mc:Choice Requires="a14">
        <xdr:graphicFrame macro="">
          <xdr:nvGraphicFramePr>
            <xdr:cNvPr id="17" name="Age">
              <a:extLst>
                <a:ext uri="{FF2B5EF4-FFF2-40B4-BE49-F238E27FC236}">
                  <a16:creationId xmlns:a16="http://schemas.microsoft.com/office/drawing/2014/main" id="{66F90B04-1228-47B6-BD3E-281663511483}"/>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mlns="">
        <xdr:sp macro="" textlink="">
          <xdr:nvSpPr>
            <xdr:cNvPr id="0" name=""/>
            <xdr:cNvSpPr>
              <a:spLocks noTextEdit="1"/>
            </xdr:cNvSpPr>
          </xdr:nvSpPr>
          <xdr:spPr>
            <a:xfrm>
              <a:off x="2567940" y="571500"/>
              <a:ext cx="2520000" cy="8342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594360</xdr:colOff>
      <xdr:row>3</xdr:row>
      <xdr:rowOff>60960</xdr:rowOff>
    </xdr:from>
    <xdr:to>
      <xdr:col>18</xdr:col>
      <xdr:colOff>66360</xdr:colOff>
      <xdr:row>7</xdr:row>
      <xdr:rowOff>49440</xdr:rowOff>
    </xdr:to>
    <mc:AlternateContent xmlns:mc="http://schemas.openxmlformats.org/markup-compatibility/2006" xmlns:a14="http://schemas.microsoft.com/office/drawing/2010/main">
      <mc:Choice Requires="a14">
        <xdr:graphicFrame macro="">
          <xdr:nvGraphicFramePr>
            <xdr:cNvPr id="18" name="Sex">
              <a:extLst>
                <a:ext uri="{FF2B5EF4-FFF2-40B4-BE49-F238E27FC236}">
                  <a16:creationId xmlns:a16="http://schemas.microsoft.com/office/drawing/2014/main" id="{FE49B465-6CB0-4304-AB73-4FC56486F2A7}"/>
                </a:ext>
              </a:extLst>
            </xdr:cNvPr>
            <xdr:cNvGraphicFramePr/>
          </xdr:nvGraphicFramePr>
          <xdr:xfrm>
            <a:off x="0" y="0"/>
            <a:ext cx="0" cy="0"/>
          </xdr:xfrm>
          <a:graphic>
            <a:graphicData uri="http://schemas.microsoft.com/office/drawing/2010/slicer">
              <sle:slicer xmlns:sle="http://schemas.microsoft.com/office/drawing/2010/slicer" name="Sex"/>
            </a:graphicData>
          </a:graphic>
        </xdr:graphicFrame>
      </mc:Choice>
      <mc:Fallback xmlns="">
        <xdr:sp macro="" textlink="">
          <xdr:nvSpPr>
            <xdr:cNvPr id="0" name=""/>
            <xdr:cNvSpPr>
              <a:spLocks noTextEdit="1"/>
            </xdr:cNvSpPr>
          </xdr:nvSpPr>
          <xdr:spPr>
            <a:xfrm>
              <a:off x="8519160" y="670560"/>
              <a:ext cx="2520000" cy="72000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15240</xdr:colOff>
      <xdr:row>4</xdr:row>
      <xdr:rowOff>144780</xdr:rowOff>
    </xdr:from>
    <xdr:to>
      <xdr:col>1</xdr:col>
      <xdr:colOff>106680</xdr:colOff>
      <xdr:row>24</xdr:row>
      <xdr:rowOff>45720</xdr:rowOff>
    </xdr:to>
    <xdr:grpSp>
      <xdr:nvGrpSpPr>
        <xdr:cNvPr id="15" name="Group 14">
          <a:extLst>
            <a:ext uri="{FF2B5EF4-FFF2-40B4-BE49-F238E27FC236}">
              <a16:creationId xmlns:a16="http://schemas.microsoft.com/office/drawing/2014/main" id="{35C12FC3-E060-A260-A922-38E0ACA94FC5}"/>
            </a:ext>
          </a:extLst>
        </xdr:cNvPr>
        <xdr:cNvGrpSpPr/>
      </xdr:nvGrpSpPr>
      <xdr:grpSpPr>
        <a:xfrm>
          <a:off x="15240" y="868680"/>
          <a:ext cx="701040" cy="3520440"/>
          <a:chOff x="7620" y="861060"/>
          <a:chExt cx="701040" cy="3558540"/>
        </a:xfrm>
      </xdr:grpSpPr>
      <xdr:sp macro="" textlink="">
        <xdr:nvSpPr>
          <xdr:cNvPr id="3" name="Rectangle: Rounded Corners 2">
            <a:extLst>
              <a:ext uri="{FF2B5EF4-FFF2-40B4-BE49-F238E27FC236}">
                <a16:creationId xmlns:a16="http://schemas.microsoft.com/office/drawing/2014/main" id="{461E7953-CF6F-C68B-520C-5B505BB1A80F}"/>
              </a:ext>
            </a:extLst>
          </xdr:cNvPr>
          <xdr:cNvSpPr/>
        </xdr:nvSpPr>
        <xdr:spPr>
          <a:xfrm>
            <a:off x="7620" y="861060"/>
            <a:ext cx="701040" cy="3558540"/>
          </a:xfrm>
          <a:prstGeom prst="roundRect">
            <a:avLst/>
          </a:prstGeom>
          <a:solidFill>
            <a:srgbClr val="C0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solidFill>
                <a:schemeClr val="bg1"/>
              </a:solidFill>
            </a:endParaRPr>
          </a:p>
        </xdr:txBody>
      </xdr:sp>
      <xdr:pic>
        <xdr:nvPicPr>
          <xdr:cNvPr id="7" name="Graphic 6" descr="Home with solid fill">
            <a:extLst>
              <a:ext uri="{FF2B5EF4-FFF2-40B4-BE49-F238E27FC236}">
                <a16:creationId xmlns:a16="http://schemas.microsoft.com/office/drawing/2014/main" id="{F2FDA4C2-5537-932A-CD79-F4DFB55E276D}"/>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21920" y="1440180"/>
            <a:ext cx="518160" cy="518160"/>
          </a:xfrm>
          <a:prstGeom prst="rect">
            <a:avLst/>
          </a:prstGeom>
        </xdr:spPr>
      </xdr:pic>
      <xdr:pic>
        <xdr:nvPicPr>
          <xdr:cNvPr id="9" name="Graphic 8" descr="Bar graph with upward trend with solid fill">
            <a:hlinkClick xmlns:r="http://schemas.openxmlformats.org/officeDocument/2006/relationships" r:id="rId3"/>
            <a:extLst>
              <a:ext uri="{FF2B5EF4-FFF2-40B4-BE49-F238E27FC236}">
                <a16:creationId xmlns:a16="http://schemas.microsoft.com/office/drawing/2014/main" id="{95E7B25A-715E-FFEC-5B31-481479E72135}"/>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99060" y="2141220"/>
            <a:ext cx="518400" cy="518400"/>
          </a:xfrm>
          <a:prstGeom prst="rect">
            <a:avLst/>
          </a:prstGeom>
        </xdr:spPr>
      </xdr:pic>
      <xdr:pic>
        <xdr:nvPicPr>
          <xdr:cNvPr id="14" name="Picture 13">
            <a:hlinkClick xmlns:r="http://schemas.openxmlformats.org/officeDocument/2006/relationships" r:id="rId6"/>
            <a:extLst>
              <a:ext uri="{FF2B5EF4-FFF2-40B4-BE49-F238E27FC236}">
                <a16:creationId xmlns:a16="http://schemas.microsoft.com/office/drawing/2014/main" id="{34BA4E16-10F0-DD24-B344-6A969836511C}"/>
              </a:ext>
            </a:extLst>
          </xdr:cNvPr>
          <xdr:cNvPicPr>
            <a:picLocks noChangeAspect="1"/>
          </xdr:cNvPicPr>
        </xdr:nvPicPr>
        <xdr:blipFill rotWithShape="1">
          <a:blip xmlns:r="http://schemas.openxmlformats.org/officeDocument/2006/relationships" r:embed="rId7" cstate="print">
            <a:extLst>
              <a:ext uri="{28A0092B-C50C-407E-A947-70E740481C1C}">
                <a14:useLocalDpi xmlns:a14="http://schemas.microsoft.com/office/drawing/2010/main" val="0"/>
              </a:ext>
            </a:extLst>
          </a:blip>
          <a:srcRect l="33655" t="25083" r="33960" b="31103"/>
          <a:stretch>
            <a:fillRect/>
          </a:stretch>
        </xdr:blipFill>
        <xdr:spPr>
          <a:xfrm>
            <a:off x="114301" y="3474720"/>
            <a:ext cx="426719" cy="384884"/>
          </a:xfrm>
          <a:prstGeom prst="rect">
            <a:avLst/>
          </a:prstGeom>
        </xdr:spPr>
      </xdr:pic>
    </xdr:grpSp>
    <xdr:clientData/>
  </xdr:twoCellAnchor>
  <xdr:twoCellAnchor>
    <xdr:from>
      <xdr:col>0</xdr:col>
      <xdr:colOff>129540</xdr:colOff>
      <xdr:row>0</xdr:row>
      <xdr:rowOff>45720</xdr:rowOff>
    </xdr:from>
    <xdr:to>
      <xdr:col>6</xdr:col>
      <xdr:colOff>68580</xdr:colOff>
      <xdr:row>4</xdr:row>
      <xdr:rowOff>22860</xdr:rowOff>
    </xdr:to>
    <xdr:sp macro="" textlink="">
      <xdr:nvSpPr>
        <xdr:cNvPr id="16" name="Rectangle: Rounded Corners 15">
          <a:extLst>
            <a:ext uri="{FF2B5EF4-FFF2-40B4-BE49-F238E27FC236}">
              <a16:creationId xmlns:a16="http://schemas.microsoft.com/office/drawing/2014/main" id="{4E093F7F-B594-AA16-6B92-895FDB8768AC}"/>
            </a:ext>
          </a:extLst>
        </xdr:cNvPr>
        <xdr:cNvSpPr/>
      </xdr:nvSpPr>
      <xdr:spPr>
        <a:xfrm>
          <a:off x="129540" y="45720"/>
          <a:ext cx="3596640" cy="708660"/>
        </a:xfrm>
        <a:prstGeom prst="roundRect">
          <a:avLst/>
        </a:prstGeom>
        <a:solidFill>
          <a:sysClr val="window" lastClr="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800">
              <a:ln>
                <a:noFill/>
              </a:ln>
              <a:solidFill>
                <a:schemeClr val="tx1"/>
              </a:solidFill>
              <a:latin typeface="Cooper Black" panose="0208090404030B020404" pitchFamily="18" charset="0"/>
            </a:rPr>
            <a:t>          Heart</a:t>
          </a:r>
          <a:r>
            <a:rPr lang="en-IN" sz="1800" baseline="0">
              <a:ln>
                <a:noFill/>
              </a:ln>
              <a:solidFill>
                <a:schemeClr val="tx1"/>
              </a:solidFill>
              <a:latin typeface="Cooper Black" panose="0208090404030B020404" pitchFamily="18" charset="0"/>
            </a:rPr>
            <a:t> Disease Analysis             </a:t>
          </a:r>
          <a:r>
            <a:rPr lang="en-IN" sz="1800" baseline="0">
              <a:ln>
                <a:noFill/>
              </a:ln>
              <a:solidFill>
                <a:schemeClr val="bg1">
                  <a:lumMod val="95000"/>
                </a:schemeClr>
              </a:solidFill>
              <a:latin typeface="Cooper Black" panose="0208090404030B020404" pitchFamily="18" charset="0"/>
            </a:rPr>
            <a:t>.</a:t>
          </a:r>
          <a:r>
            <a:rPr lang="en-IN" sz="1800" baseline="0">
              <a:ln>
                <a:noFill/>
              </a:ln>
              <a:solidFill>
                <a:schemeClr val="tx1"/>
              </a:solidFill>
              <a:latin typeface="Cooper Black" panose="0208090404030B020404" pitchFamily="18" charset="0"/>
            </a:rPr>
            <a:t>                    Dashboard </a:t>
          </a:r>
          <a:endParaRPr lang="en-IN" sz="1800">
            <a:ln>
              <a:noFill/>
            </a:ln>
            <a:solidFill>
              <a:schemeClr val="tx1"/>
            </a:solidFill>
            <a:latin typeface="Cooper Black" panose="0208090404030B020404" pitchFamily="18" charset="0"/>
          </a:endParaRPr>
        </a:p>
      </xdr:txBody>
    </xdr:sp>
    <xdr:clientData/>
  </xdr:twoCellAnchor>
  <xdr:twoCellAnchor editAs="oneCell">
    <xdr:from>
      <xdr:col>2</xdr:col>
      <xdr:colOff>137160</xdr:colOff>
      <xdr:row>4</xdr:row>
      <xdr:rowOff>167639</xdr:rowOff>
    </xdr:from>
    <xdr:to>
      <xdr:col>4</xdr:col>
      <xdr:colOff>594360</xdr:colOff>
      <xdr:row>16</xdr:row>
      <xdr:rowOff>6745</xdr:rowOff>
    </xdr:to>
    <xdr:pic>
      <xdr:nvPicPr>
        <xdr:cNvPr id="24" name="Picture 23">
          <a:extLst>
            <a:ext uri="{FF2B5EF4-FFF2-40B4-BE49-F238E27FC236}">
              <a16:creationId xmlns:a16="http://schemas.microsoft.com/office/drawing/2014/main" id="{4FFDFE0E-2C08-59BA-7C08-593F4055AB91}"/>
            </a:ext>
          </a:extLst>
        </xdr:cNvPr>
        <xdr:cNvPicPr>
          <a:picLocks noChangeAspect="1"/>
        </xdr:cNvPicPr>
      </xdr:nvPicPr>
      <xdr:blipFill rotWithShape="1">
        <a:blip xmlns:r="http://schemas.openxmlformats.org/officeDocument/2006/relationships" r:embed="rId8" cstate="print">
          <a:extLst>
            <a:ext uri="{28A0092B-C50C-407E-A947-70E740481C1C}">
              <a14:useLocalDpi xmlns:a14="http://schemas.microsoft.com/office/drawing/2010/main" val="0"/>
            </a:ext>
          </a:extLst>
        </a:blip>
        <a:srcRect l="25264" r="26578" b="12368"/>
        <a:stretch>
          <a:fillRect/>
        </a:stretch>
      </xdr:blipFill>
      <xdr:spPr>
        <a:xfrm>
          <a:off x="1356360" y="899159"/>
          <a:ext cx="1676400" cy="2033666"/>
        </a:xfrm>
        <a:prstGeom prst="rect">
          <a:avLst/>
        </a:prstGeom>
      </xdr:spPr>
    </xdr:pic>
    <xdr:clientData/>
  </xdr:twoCellAnchor>
  <xdr:twoCellAnchor>
    <xdr:from>
      <xdr:col>3</xdr:col>
      <xdr:colOff>335280</xdr:colOff>
      <xdr:row>15</xdr:row>
      <xdr:rowOff>174385</xdr:rowOff>
    </xdr:from>
    <xdr:to>
      <xdr:col>3</xdr:col>
      <xdr:colOff>335280</xdr:colOff>
      <xdr:row>19</xdr:row>
      <xdr:rowOff>38100</xdr:rowOff>
    </xdr:to>
    <xdr:cxnSp macro="">
      <xdr:nvCxnSpPr>
        <xdr:cNvPr id="26" name="Straight Connector 25">
          <a:extLst>
            <a:ext uri="{FF2B5EF4-FFF2-40B4-BE49-F238E27FC236}">
              <a16:creationId xmlns:a16="http://schemas.microsoft.com/office/drawing/2014/main" id="{A49197B5-A7B3-D7FC-0558-FD2529A90A69}"/>
            </a:ext>
          </a:extLst>
        </xdr:cNvPr>
        <xdr:cNvCxnSpPr/>
      </xdr:nvCxnSpPr>
      <xdr:spPr>
        <a:xfrm>
          <a:off x="2164080" y="2917585"/>
          <a:ext cx="0" cy="595235"/>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2</xdr:col>
      <xdr:colOff>510540</xdr:colOff>
      <xdr:row>19</xdr:row>
      <xdr:rowOff>45720</xdr:rowOff>
    </xdr:from>
    <xdr:to>
      <xdr:col>4</xdr:col>
      <xdr:colOff>228600</xdr:colOff>
      <xdr:row>19</xdr:row>
      <xdr:rowOff>60960</xdr:rowOff>
    </xdr:to>
    <xdr:cxnSp macro="">
      <xdr:nvCxnSpPr>
        <xdr:cNvPr id="29" name="Straight Connector 28">
          <a:extLst>
            <a:ext uri="{FF2B5EF4-FFF2-40B4-BE49-F238E27FC236}">
              <a16:creationId xmlns:a16="http://schemas.microsoft.com/office/drawing/2014/main" id="{DC250983-E995-B1C0-E380-B3C62368E6BC}"/>
            </a:ext>
          </a:extLst>
        </xdr:cNvPr>
        <xdr:cNvCxnSpPr/>
      </xdr:nvCxnSpPr>
      <xdr:spPr>
        <a:xfrm flipV="1">
          <a:off x="1729740" y="3520440"/>
          <a:ext cx="937260" cy="15240"/>
        </a:xfrm>
        <a:prstGeom prst="line">
          <a:avLst/>
        </a:prstGeom>
      </xdr:spPr>
      <xdr:style>
        <a:lnRef idx="3">
          <a:schemeClr val="dk1"/>
        </a:lnRef>
        <a:fillRef idx="0">
          <a:schemeClr val="dk1"/>
        </a:fillRef>
        <a:effectRef idx="2">
          <a:schemeClr val="dk1"/>
        </a:effectRef>
        <a:fontRef idx="minor">
          <a:schemeClr val="tx1"/>
        </a:fontRef>
      </xdr:style>
    </xdr:cxnSp>
    <xdr:clientData/>
  </xdr:twoCellAnchor>
  <xdr:twoCellAnchor>
    <xdr:from>
      <xdr:col>3</xdr:col>
      <xdr:colOff>586740</xdr:colOff>
      <xdr:row>19</xdr:row>
      <xdr:rowOff>45720</xdr:rowOff>
    </xdr:from>
    <xdr:to>
      <xdr:col>4</xdr:col>
      <xdr:colOff>480060</xdr:colOff>
      <xdr:row>21</xdr:row>
      <xdr:rowOff>144780</xdr:rowOff>
    </xdr:to>
    <xdr:sp macro="" textlink="">
      <xdr:nvSpPr>
        <xdr:cNvPr id="33" name="Arc 32">
          <a:extLst>
            <a:ext uri="{FF2B5EF4-FFF2-40B4-BE49-F238E27FC236}">
              <a16:creationId xmlns:a16="http://schemas.microsoft.com/office/drawing/2014/main" id="{0EA70213-FA47-8111-D7A9-5458D738CA3F}"/>
            </a:ext>
          </a:extLst>
        </xdr:cNvPr>
        <xdr:cNvSpPr/>
      </xdr:nvSpPr>
      <xdr:spPr>
        <a:xfrm>
          <a:off x="2415540" y="3520440"/>
          <a:ext cx="502920" cy="464820"/>
        </a:xfrm>
        <a:prstGeom prst="arc">
          <a:avLst/>
        </a:prstGeom>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IN" sz="1100"/>
        </a:p>
      </xdr:txBody>
    </xdr:sp>
    <xdr:clientData/>
  </xdr:twoCellAnchor>
  <xdr:twoCellAnchor>
    <xdr:from>
      <xdr:col>2</xdr:col>
      <xdr:colOff>262889</xdr:colOff>
      <xdr:row>19</xdr:row>
      <xdr:rowOff>64769</xdr:rowOff>
    </xdr:from>
    <xdr:to>
      <xdr:col>3</xdr:col>
      <xdr:colOff>118109</xdr:colOff>
      <xdr:row>22</xdr:row>
      <xdr:rowOff>19049</xdr:rowOff>
    </xdr:to>
    <xdr:sp macro="" textlink="">
      <xdr:nvSpPr>
        <xdr:cNvPr id="34" name="Arc 33">
          <a:extLst>
            <a:ext uri="{FF2B5EF4-FFF2-40B4-BE49-F238E27FC236}">
              <a16:creationId xmlns:a16="http://schemas.microsoft.com/office/drawing/2014/main" id="{563DEF19-05CA-4E16-A077-D2D60FCD27CD}"/>
            </a:ext>
          </a:extLst>
        </xdr:cNvPr>
        <xdr:cNvSpPr/>
      </xdr:nvSpPr>
      <xdr:spPr>
        <a:xfrm rot="16517580">
          <a:off x="1463039" y="3558539"/>
          <a:ext cx="502920" cy="464820"/>
        </a:xfrm>
        <a:prstGeom prst="arc">
          <a:avLst/>
        </a:prstGeom>
      </xdr:spPr>
      <xdr:style>
        <a:lnRef idx="3">
          <a:schemeClr val="dk1"/>
        </a:lnRef>
        <a:fillRef idx="0">
          <a:schemeClr val="dk1"/>
        </a:fillRef>
        <a:effectRef idx="2">
          <a:schemeClr val="dk1"/>
        </a:effectRef>
        <a:fontRef idx="minor">
          <a:schemeClr val="tx1"/>
        </a:fontRef>
      </xdr:style>
      <xdr:txBody>
        <a:bodyPr vertOverflow="clip" horzOverflow="clip" rtlCol="0" anchor="t"/>
        <a:lstStyle/>
        <a:p>
          <a:pPr algn="l"/>
          <a:endParaRPr lang="en-IN" sz="1100"/>
        </a:p>
      </xdr:txBody>
    </xdr:sp>
    <xdr:clientData/>
  </xdr:twoCellAnchor>
  <xdr:twoCellAnchor editAs="oneCell">
    <xdr:from>
      <xdr:col>4</xdr:col>
      <xdr:colOff>137160</xdr:colOff>
      <xdr:row>20</xdr:row>
      <xdr:rowOff>76200</xdr:rowOff>
    </xdr:from>
    <xdr:to>
      <xdr:col>5</xdr:col>
      <xdr:colOff>116205</xdr:colOff>
      <xdr:row>23</xdr:row>
      <xdr:rowOff>99060</xdr:rowOff>
    </xdr:to>
    <xdr:pic>
      <xdr:nvPicPr>
        <xdr:cNvPr id="39" name="Picture 38">
          <a:extLst>
            <a:ext uri="{FF2B5EF4-FFF2-40B4-BE49-F238E27FC236}">
              <a16:creationId xmlns:a16="http://schemas.microsoft.com/office/drawing/2014/main" id="{2CC7F09F-9E67-AE6F-838C-E7E1B8B37112}"/>
            </a:ext>
          </a:extLst>
        </xdr:cNvPr>
        <xdr:cNvPicPr>
          <a:picLocks noChangeAspect="1"/>
        </xdr:cNvPicPr>
      </xdr:nvPicPr>
      <xdr:blipFill rotWithShape="1">
        <a:blip xmlns:r="http://schemas.openxmlformats.org/officeDocument/2006/relationships" r:embed="rId9" cstate="print">
          <a:extLst>
            <a:ext uri="{28A0092B-C50C-407E-A947-70E740481C1C}">
              <a14:useLocalDpi xmlns:a14="http://schemas.microsoft.com/office/drawing/2010/main" val="0"/>
            </a:ext>
          </a:extLst>
        </a:blip>
        <a:srcRect l="13276" t="27967" r="57628" b="29661"/>
        <a:stretch>
          <a:fillRect/>
        </a:stretch>
      </xdr:blipFill>
      <xdr:spPr>
        <a:xfrm>
          <a:off x="2575560" y="3733800"/>
          <a:ext cx="588645" cy="571500"/>
        </a:xfrm>
        <a:prstGeom prst="rect">
          <a:avLst/>
        </a:prstGeom>
      </xdr:spPr>
    </xdr:pic>
    <xdr:clientData/>
  </xdr:twoCellAnchor>
  <xdr:twoCellAnchor editAs="oneCell">
    <xdr:from>
      <xdr:col>1</xdr:col>
      <xdr:colOff>556262</xdr:colOff>
      <xdr:row>20</xdr:row>
      <xdr:rowOff>91440</xdr:rowOff>
    </xdr:from>
    <xdr:to>
      <xdr:col>2</xdr:col>
      <xdr:colOff>552452</xdr:colOff>
      <xdr:row>23</xdr:row>
      <xdr:rowOff>91440</xdr:rowOff>
    </xdr:to>
    <xdr:pic>
      <xdr:nvPicPr>
        <xdr:cNvPr id="41" name="Picture 40">
          <a:extLst>
            <a:ext uri="{FF2B5EF4-FFF2-40B4-BE49-F238E27FC236}">
              <a16:creationId xmlns:a16="http://schemas.microsoft.com/office/drawing/2014/main" id="{2BF98D8F-15AA-0D1E-2C65-6BCC61612C76}"/>
            </a:ext>
          </a:extLst>
        </xdr:cNvPr>
        <xdr:cNvPicPr>
          <a:picLocks noChangeAspect="1"/>
        </xdr:cNvPicPr>
      </xdr:nvPicPr>
      <xdr:blipFill rotWithShape="1">
        <a:blip xmlns:r="http://schemas.openxmlformats.org/officeDocument/2006/relationships" r:embed="rId10" cstate="print">
          <a:extLst>
            <a:ext uri="{28A0092B-C50C-407E-A947-70E740481C1C}">
              <a14:useLocalDpi xmlns:a14="http://schemas.microsoft.com/office/drawing/2010/main" val="0"/>
            </a:ext>
          </a:extLst>
        </a:blip>
        <a:srcRect l="58702" t="28787" r="11382" b="30573"/>
        <a:stretch>
          <a:fillRect/>
        </a:stretch>
      </xdr:blipFill>
      <xdr:spPr>
        <a:xfrm>
          <a:off x="1165862" y="3749040"/>
          <a:ext cx="605790" cy="548640"/>
        </a:xfrm>
        <a:prstGeom prst="rect">
          <a:avLst/>
        </a:prstGeom>
      </xdr:spPr>
    </xdr:pic>
    <xdr:clientData/>
  </xdr:twoCellAnchor>
  <xdr:twoCellAnchor>
    <xdr:from>
      <xdr:col>18</xdr:col>
      <xdr:colOff>464820</xdr:colOff>
      <xdr:row>1</xdr:row>
      <xdr:rowOff>7620</xdr:rowOff>
    </xdr:from>
    <xdr:to>
      <xdr:col>22</xdr:col>
      <xdr:colOff>480060</xdr:colOff>
      <xdr:row>5</xdr:row>
      <xdr:rowOff>68580</xdr:rowOff>
    </xdr:to>
    <xdr:sp macro="" textlink="Pivot_Analysis!D21">
      <xdr:nvSpPr>
        <xdr:cNvPr id="44" name="Rectangle: Rounded Corners 43">
          <a:extLst>
            <a:ext uri="{FF2B5EF4-FFF2-40B4-BE49-F238E27FC236}">
              <a16:creationId xmlns:a16="http://schemas.microsoft.com/office/drawing/2014/main" id="{4FC030E0-DFC8-A9AC-4882-F08A954D5930}"/>
            </a:ext>
          </a:extLst>
        </xdr:cNvPr>
        <xdr:cNvSpPr/>
      </xdr:nvSpPr>
      <xdr:spPr>
        <a:xfrm>
          <a:off x="11437620" y="190500"/>
          <a:ext cx="2453640" cy="79248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309CA70C-6383-4E78-B5FB-CB1EF9FAC51A}" type="TxLink">
            <a:rPr lang="en-US" sz="1600" b="1" i="0" u="none" strike="noStrike">
              <a:solidFill>
                <a:srgbClr val="000000"/>
              </a:solidFill>
              <a:latin typeface="Georgia Pro Cond Black" panose="02040A06050405020203" pitchFamily="18" charset="0"/>
              <a:ea typeface="Calibri"/>
              <a:cs typeface="Calibri"/>
            </a:rPr>
            <a:pPr algn="ctr"/>
            <a:t>55%</a:t>
          </a:fld>
          <a:endParaRPr lang="en-US" sz="1600" b="1" i="0" u="none" strike="noStrike">
            <a:solidFill>
              <a:srgbClr val="000000"/>
            </a:solidFill>
            <a:latin typeface="Georgia Pro Cond Black" panose="02040A06050405020203" pitchFamily="18" charset="0"/>
            <a:ea typeface="Calibri"/>
            <a:cs typeface="Calibri"/>
          </a:endParaRPr>
        </a:p>
        <a:p>
          <a:pPr algn="ctr"/>
          <a:r>
            <a:rPr lang="en-IN" sz="1600" b="1" i="0" u="none" strike="noStrike">
              <a:solidFill>
                <a:srgbClr val="000000"/>
              </a:solidFill>
              <a:latin typeface="Georgia Pro Cond Black" panose="02040A06050405020203" pitchFamily="18" charset="0"/>
              <a:ea typeface="Calibri"/>
              <a:cs typeface="Calibri"/>
            </a:rPr>
            <a:t>Diseases Percentage</a:t>
          </a:r>
          <a:endParaRPr lang="en-US" sz="1600" b="1" i="0" u="none" strike="noStrike">
            <a:solidFill>
              <a:srgbClr val="000000"/>
            </a:solidFill>
            <a:latin typeface="Georgia Pro Cond Black" panose="02040A06050405020203" pitchFamily="18" charset="0"/>
            <a:ea typeface="Calibri"/>
            <a:cs typeface="Calibri"/>
          </a:endParaRPr>
        </a:p>
        <a:p>
          <a:pPr algn="ctr"/>
          <a:r>
            <a:rPr lang="en-IN" sz="1600" b="1" i="0" u="none" strike="noStrike">
              <a:solidFill>
                <a:srgbClr val="000000"/>
              </a:solidFill>
              <a:latin typeface="Georgia Pro Cond Black" panose="02040A06050405020203" pitchFamily="18" charset="0"/>
              <a:ea typeface="Calibri"/>
              <a:cs typeface="Calibri"/>
            </a:rPr>
            <a:t> </a:t>
          </a:r>
          <a:endParaRPr lang="en-US" sz="1600" b="1" i="0" u="none" strike="noStrike">
            <a:solidFill>
              <a:schemeClr val="tx1"/>
            </a:solidFill>
            <a:latin typeface="Georgia Pro Cond Black" panose="02040A06050405020203" pitchFamily="18" charset="0"/>
            <a:ea typeface="Calibri"/>
            <a:cs typeface="Calibri"/>
          </a:endParaRPr>
        </a:p>
      </xdr:txBody>
    </xdr:sp>
    <xdr:clientData/>
  </xdr:twoCellAnchor>
  <xdr:twoCellAnchor>
    <xdr:from>
      <xdr:col>6</xdr:col>
      <xdr:colOff>251460</xdr:colOff>
      <xdr:row>1</xdr:row>
      <xdr:rowOff>30480</xdr:rowOff>
    </xdr:from>
    <xdr:to>
      <xdr:col>10</xdr:col>
      <xdr:colOff>268260</xdr:colOff>
      <xdr:row>5</xdr:row>
      <xdr:rowOff>91440</xdr:rowOff>
    </xdr:to>
    <xdr:sp macro="" textlink="Pivot_Analysis!D23">
      <xdr:nvSpPr>
        <xdr:cNvPr id="45" name="Rectangle: Rounded Corners 44">
          <a:extLst>
            <a:ext uri="{FF2B5EF4-FFF2-40B4-BE49-F238E27FC236}">
              <a16:creationId xmlns:a16="http://schemas.microsoft.com/office/drawing/2014/main" id="{A6785222-8082-4539-AB60-311ADDCB06E0}"/>
            </a:ext>
          </a:extLst>
        </xdr:cNvPr>
        <xdr:cNvSpPr/>
      </xdr:nvSpPr>
      <xdr:spPr>
        <a:xfrm>
          <a:off x="3909060" y="213360"/>
          <a:ext cx="2455200" cy="79248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F5326F60-7277-41EB-B340-338C6AC7ABE3}" type="TxLink">
            <a:rPr lang="en-US" sz="1600" b="1" i="0" u="none" strike="noStrike">
              <a:solidFill>
                <a:srgbClr val="000000"/>
              </a:solidFill>
              <a:latin typeface="Georgia Pro Cond Black" panose="02040A06050405020203" pitchFamily="18" charset="0"/>
              <a:ea typeface="Calibri"/>
              <a:cs typeface="Calibri"/>
            </a:rPr>
            <a:pPr algn="ctr"/>
            <a:t>918</a:t>
          </a:fld>
          <a:endParaRPr lang="en-US" sz="1600" b="1" i="0" u="none" strike="noStrike">
            <a:solidFill>
              <a:srgbClr val="000000"/>
            </a:solidFill>
            <a:latin typeface="Georgia Pro Cond Black" panose="02040A06050405020203" pitchFamily="18" charset="0"/>
            <a:ea typeface="Calibri"/>
            <a:cs typeface="Calibri"/>
          </a:endParaRPr>
        </a:p>
        <a:p>
          <a:pPr algn="ctr"/>
          <a:r>
            <a:rPr lang="en-US" sz="1600" b="1" i="0" u="none" strike="noStrike">
              <a:solidFill>
                <a:srgbClr val="000000"/>
              </a:solidFill>
              <a:latin typeface="Georgia Pro Cond Black" panose="02040A06050405020203" pitchFamily="18" charset="0"/>
              <a:ea typeface="Calibri"/>
              <a:cs typeface="Calibri"/>
            </a:rPr>
            <a:t>Total </a:t>
          </a:r>
          <a:r>
            <a:rPr lang="en-IN" sz="1600" b="1" i="0" u="none" strike="noStrike">
              <a:solidFill>
                <a:srgbClr val="000000"/>
              </a:solidFill>
              <a:latin typeface="Georgia Pro Cond Black" panose="02040A06050405020203" pitchFamily="18" charset="0"/>
              <a:ea typeface="Calibri"/>
              <a:cs typeface="Calibri"/>
            </a:rPr>
            <a:t>Patients</a:t>
          </a:r>
        </a:p>
      </xdr:txBody>
    </xdr:sp>
    <xdr:clientData/>
  </xdr:twoCellAnchor>
  <xdr:twoCellAnchor>
    <xdr:from>
      <xdr:col>10</xdr:col>
      <xdr:colOff>320040</xdr:colOff>
      <xdr:row>1</xdr:row>
      <xdr:rowOff>15240</xdr:rowOff>
    </xdr:from>
    <xdr:to>
      <xdr:col>14</xdr:col>
      <xdr:colOff>336840</xdr:colOff>
      <xdr:row>5</xdr:row>
      <xdr:rowOff>76200</xdr:rowOff>
    </xdr:to>
    <xdr:sp macro="" textlink="Pivot_Analysis!E22">
      <xdr:nvSpPr>
        <xdr:cNvPr id="46" name="Rectangle: Rounded Corners 45">
          <a:extLst>
            <a:ext uri="{FF2B5EF4-FFF2-40B4-BE49-F238E27FC236}">
              <a16:creationId xmlns:a16="http://schemas.microsoft.com/office/drawing/2014/main" id="{81E80185-98C7-4341-82F7-497435B02164}"/>
            </a:ext>
          </a:extLst>
        </xdr:cNvPr>
        <xdr:cNvSpPr/>
      </xdr:nvSpPr>
      <xdr:spPr>
        <a:xfrm>
          <a:off x="6416040" y="198120"/>
          <a:ext cx="2455200" cy="79248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B35E926-14DC-43DE-9E25-22E8A8A2AF92}" type="TxLink">
            <a:rPr lang="en-US" sz="1600" b="1" i="0" u="none" strike="noStrike">
              <a:solidFill>
                <a:srgbClr val="000000"/>
              </a:solidFill>
              <a:latin typeface="Georgia Pro Cond Black" panose="02040A06050405020203" pitchFamily="18" charset="0"/>
              <a:ea typeface="Calibri"/>
              <a:cs typeface="Calibri"/>
            </a:rPr>
            <a:pPr algn="ctr"/>
            <a:t>508</a:t>
          </a:fld>
          <a:endParaRPr lang="en-US" sz="1600" b="1" i="0" u="none" strike="noStrike">
            <a:solidFill>
              <a:srgbClr val="000000"/>
            </a:solidFill>
            <a:latin typeface="Georgia Pro Cond Black" panose="02040A06050405020203" pitchFamily="18" charset="0"/>
            <a:ea typeface="Calibri"/>
            <a:cs typeface="Calibri"/>
          </a:endParaRPr>
        </a:p>
        <a:p>
          <a:pPr algn="ctr"/>
          <a:r>
            <a:rPr lang="en-US" sz="1600" b="1" i="0" u="none" strike="noStrike">
              <a:solidFill>
                <a:srgbClr val="000000"/>
              </a:solidFill>
              <a:latin typeface="Georgia Pro Cond Black" panose="02040A06050405020203" pitchFamily="18" charset="0"/>
              <a:ea typeface="Calibri"/>
              <a:cs typeface="Calibri"/>
            </a:rPr>
            <a:t>Heart </a:t>
          </a:r>
          <a:r>
            <a:rPr lang="en-IN" sz="1600" b="1" i="0" u="none" strike="noStrike">
              <a:solidFill>
                <a:srgbClr val="000000"/>
              </a:solidFill>
              <a:latin typeface="Georgia Pro Cond Black" panose="02040A06050405020203" pitchFamily="18" charset="0"/>
              <a:ea typeface="Calibri"/>
              <a:cs typeface="Calibri"/>
            </a:rPr>
            <a:t>Disease </a:t>
          </a:r>
          <a:endParaRPr lang="en-IN" sz="1600" b="1">
            <a:solidFill>
              <a:schemeClr val="tx1"/>
            </a:solidFill>
            <a:latin typeface="Georgia Pro Cond Black" panose="02040A06050405020203" pitchFamily="18" charset="0"/>
          </a:endParaRPr>
        </a:p>
      </xdr:txBody>
    </xdr:sp>
    <xdr:clientData/>
  </xdr:twoCellAnchor>
  <xdr:twoCellAnchor>
    <xdr:from>
      <xdr:col>14</xdr:col>
      <xdr:colOff>388620</xdr:colOff>
      <xdr:row>1</xdr:row>
      <xdr:rowOff>7620</xdr:rowOff>
    </xdr:from>
    <xdr:to>
      <xdr:col>18</xdr:col>
      <xdr:colOff>405420</xdr:colOff>
      <xdr:row>5</xdr:row>
      <xdr:rowOff>68580</xdr:rowOff>
    </xdr:to>
    <xdr:sp macro="" textlink="Pivot_Analysis!E24">
      <xdr:nvSpPr>
        <xdr:cNvPr id="47" name="Rectangle: Rounded Corners 46">
          <a:extLst>
            <a:ext uri="{FF2B5EF4-FFF2-40B4-BE49-F238E27FC236}">
              <a16:creationId xmlns:a16="http://schemas.microsoft.com/office/drawing/2014/main" id="{EC9B57BC-F373-4FAC-9BF8-C61FD59D4D92}"/>
            </a:ext>
          </a:extLst>
        </xdr:cNvPr>
        <xdr:cNvSpPr/>
      </xdr:nvSpPr>
      <xdr:spPr>
        <a:xfrm>
          <a:off x="8923020" y="190500"/>
          <a:ext cx="2455200" cy="79248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ctr"/>
          <a:fld id="{90318CD7-5971-4881-8C3B-E4BB70D0A829}" type="TxLink">
            <a:rPr lang="en-US" sz="1600" b="1" i="0" u="none" strike="noStrike">
              <a:solidFill>
                <a:srgbClr val="000000"/>
              </a:solidFill>
              <a:latin typeface="Georgia Pro Cond Black" panose="02040A06050405020203" pitchFamily="18" charset="0"/>
              <a:ea typeface="Calibri"/>
              <a:cs typeface="Calibri"/>
            </a:rPr>
            <a:pPr algn="ctr"/>
            <a:t>410</a:t>
          </a:fld>
          <a:endParaRPr lang="en-US" sz="1600" b="1" i="0" u="none" strike="noStrike">
            <a:solidFill>
              <a:srgbClr val="000000"/>
            </a:solidFill>
            <a:latin typeface="Georgia Pro Cond Black" panose="02040A06050405020203" pitchFamily="18" charset="0"/>
            <a:ea typeface="Calibri"/>
            <a:cs typeface="Calibri"/>
          </a:endParaRPr>
        </a:p>
        <a:p>
          <a:pPr algn="ctr"/>
          <a:r>
            <a:rPr lang="en-US" sz="1600" b="1" i="0" u="none" strike="noStrike">
              <a:solidFill>
                <a:srgbClr val="000000"/>
              </a:solidFill>
              <a:latin typeface="Georgia Pro Cond Black" panose="02040A06050405020203" pitchFamily="18" charset="0"/>
              <a:ea typeface="Calibri"/>
              <a:cs typeface="Calibri"/>
            </a:rPr>
            <a:t>No Heart </a:t>
          </a:r>
          <a:r>
            <a:rPr lang="en-IN" sz="1600" b="1" i="0" u="none" strike="noStrike">
              <a:solidFill>
                <a:srgbClr val="000000"/>
              </a:solidFill>
              <a:latin typeface="Georgia Pro Cond Black" panose="02040A06050405020203" pitchFamily="18" charset="0"/>
              <a:ea typeface="Calibri"/>
              <a:cs typeface="Calibri"/>
            </a:rPr>
            <a:t>Disease </a:t>
          </a:r>
          <a:endParaRPr lang="en-IN" sz="1600" b="1">
            <a:solidFill>
              <a:schemeClr val="tx1"/>
            </a:solidFill>
            <a:latin typeface="Georgia Pro Cond Black" panose="02040A06050405020203" pitchFamily="18" charset="0"/>
          </a:endParaRPr>
        </a:p>
      </xdr:txBody>
    </xdr:sp>
    <xdr:clientData/>
  </xdr:twoCellAnchor>
  <xdr:twoCellAnchor>
    <xdr:from>
      <xdr:col>2</xdr:col>
      <xdr:colOff>60960</xdr:colOff>
      <xdr:row>23</xdr:row>
      <xdr:rowOff>99059</xdr:rowOff>
    </xdr:from>
    <xdr:to>
      <xdr:col>6</xdr:col>
      <xdr:colOff>335280</xdr:colOff>
      <xdr:row>27</xdr:row>
      <xdr:rowOff>68580</xdr:rowOff>
    </xdr:to>
    <mc:AlternateContent xmlns:mc="http://schemas.openxmlformats.org/markup-compatibility/2006" xmlns:a14="http://schemas.microsoft.com/office/drawing/2010/main">
      <mc:Choice Requires="a14">
        <xdr:graphicFrame macro="">
          <xdr:nvGraphicFramePr>
            <xdr:cNvPr id="48" name="Sex 1">
              <a:extLst>
                <a:ext uri="{FF2B5EF4-FFF2-40B4-BE49-F238E27FC236}">
                  <a16:creationId xmlns:a16="http://schemas.microsoft.com/office/drawing/2014/main" id="{53551BFF-274E-411C-99B6-C71096686C67}"/>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Sex 1"/>
            </a:graphicData>
          </a:graphic>
        </xdr:graphicFrame>
      </mc:Choice>
      <mc:Fallback xmlns="">
        <xdr:sp macro="" textlink="">
          <xdr:nvSpPr>
            <xdr:cNvPr id="0" name=""/>
            <xdr:cNvSpPr>
              <a:spLocks noTextEdit="1"/>
            </xdr:cNvSpPr>
          </xdr:nvSpPr>
          <xdr:spPr>
            <a:xfrm>
              <a:off x="1280160" y="4305299"/>
              <a:ext cx="2712720" cy="70104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594360</xdr:colOff>
      <xdr:row>6</xdr:row>
      <xdr:rowOff>68581</xdr:rowOff>
    </xdr:from>
    <xdr:to>
      <xdr:col>23</xdr:col>
      <xdr:colOff>69272</xdr:colOff>
      <xdr:row>18</xdr:row>
      <xdr:rowOff>123265</xdr:rowOff>
    </xdr:to>
    <mc:AlternateContent xmlns:mc="http://schemas.openxmlformats.org/markup-compatibility/2006" xmlns:a14="http://schemas.microsoft.com/office/drawing/2010/main">
      <mc:Choice Requires="a14">
        <xdr:graphicFrame macro="">
          <xdr:nvGraphicFramePr>
            <xdr:cNvPr id="49" name="Age 1">
              <a:extLst>
                <a:ext uri="{FF2B5EF4-FFF2-40B4-BE49-F238E27FC236}">
                  <a16:creationId xmlns:a16="http://schemas.microsoft.com/office/drawing/2014/main" id="{C511DDC8-E6DC-4D22-86F5-F14530A7E95E}"/>
                </a:ext>
              </a:extLst>
            </xdr:cNvPr>
            <xdr:cNvGraphicFramePr/>
          </xdr:nvGraphicFramePr>
          <xdr:xfrm>
            <a:off x="0" y="0"/>
            <a:ext cx="0" cy="0"/>
          </xdr:xfrm>
          <a:graphic>
            <a:graphicData uri="http://schemas.microsoft.com/office/drawing/2010/slicer">
              <sle:slicer xmlns:sle="http://schemas.microsoft.com/office/drawing/2010/slicer" name="Age 1"/>
            </a:graphicData>
          </a:graphic>
        </xdr:graphicFrame>
      </mc:Choice>
      <mc:Fallback xmlns="">
        <xdr:sp macro="" textlink="">
          <xdr:nvSpPr>
            <xdr:cNvPr id="0" name=""/>
            <xdr:cNvSpPr>
              <a:spLocks noTextEdit="1"/>
            </xdr:cNvSpPr>
          </xdr:nvSpPr>
          <xdr:spPr>
            <a:xfrm>
              <a:off x="12176760" y="1165861"/>
              <a:ext cx="1645920" cy="952499"/>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114300</xdr:colOff>
      <xdr:row>15</xdr:row>
      <xdr:rowOff>53340</xdr:rowOff>
    </xdr:from>
    <xdr:to>
      <xdr:col>1</xdr:col>
      <xdr:colOff>23100</xdr:colOff>
      <xdr:row>18</xdr:row>
      <xdr:rowOff>23100</xdr:rowOff>
    </xdr:to>
    <xdr:pic>
      <xdr:nvPicPr>
        <xdr:cNvPr id="69" name="Graphic 68" descr="Upward trend with solid fill">
          <a:hlinkClick xmlns:r="http://schemas.openxmlformats.org/officeDocument/2006/relationships" r:id="rId11"/>
          <a:extLst>
            <a:ext uri="{FF2B5EF4-FFF2-40B4-BE49-F238E27FC236}">
              <a16:creationId xmlns:a16="http://schemas.microsoft.com/office/drawing/2014/main" id="{FD5C48B6-955E-A50F-0B7B-FD18FC79A494}"/>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114300" y="2796540"/>
          <a:ext cx="518400" cy="518400"/>
        </a:xfrm>
        <a:prstGeom prst="rect">
          <a:avLst/>
        </a:prstGeom>
      </xdr:spPr>
    </xdr:pic>
    <xdr:clientData/>
  </xdr:twoCellAnchor>
  <xdr:twoCellAnchor editAs="oneCell">
    <xdr:from>
      <xdr:col>19</xdr:col>
      <xdr:colOff>591875</xdr:colOff>
      <xdr:row>19</xdr:row>
      <xdr:rowOff>129255</xdr:rowOff>
    </xdr:from>
    <xdr:to>
      <xdr:col>23</xdr:col>
      <xdr:colOff>68604</xdr:colOff>
      <xdr:row>31</xdr:row>
      <xdr:rowOff>112058</xdr:rowOff>
    </xdr:to>
    <mc:AlternateContent xmlns:mc="http://schemas.openxmlformats.org/markup-compatibility/2006" xmlns:a14="http://schemas.microsoft.com/office/drawing/2010/main">
      <mc:Choice Requires="a14">
        <xdr:graphicFrame macro="">
          <xdr:nvGraphicFramePr>
            <xdr:cNvPr id="70" name="ExerciseAngina 1">
              <a:extLst>
                <a:ext uri="{FF2B5EF4-FFF2-40B4-BE49-F238E27FC236}">
                  <a16:creationId xmlns:a16="http://schemas.microsoft.com/office/drawing/2014/main" id="{C09F03BC-2871-459A-9CAA-6613C156405A}"/>
                </a:ext>
              </a:extLst>
            </xdr:cNvPr>
            <xdr:cNvGraphicFramePr/>
          </xdr:nvGraphicFramePr>
          <xdr:xfrm>
            <a:off x="0" y="0"/>
            <a:ext cx="0" cy="0"/>
          </xdr:xfrm>
          <a:graphic>
            <a:graphicData uri="http://schemas.microsoft.com/office/drawing/2010/slicer">
              <sle:slicer xmlns:sle="http://schemas.microsoft.com/office/drawing/2010/slicer" name="ExerciseAngina 1"/>
            </a:graphicData>
          </a:graphic>
        </xdr:graphicFrame>
      </mc:Choice>
      <mc:Fallback xmlns="">
        <xdr:sp macro="" textlink="">
          <xdr:nvSpPr>
            <xdr:cNvPr id="0" name=""/>
            <xdr:cNvSpPr>
              <a:spLocks noTextEdit="1"/>
            </xdr:cNvSpPr>
          </xdr:nvSpPr>
          <xdr:spPr>
            <a:xfrm>
              <a:off x="12089110" y="3535843"/>
              <a:ext cx="1897200" cy="21343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6</xdr:col>
      <xdr:colOff>266700</xdr:colOff>
      <xdr:row>6</xdr:row>
      <xdr:rowOff>3810</xdr:rowOff>
    </xdr:from>
    <xdr:to>
      <xdr:col>19</xdr:col>
      <xdr:colOff>228720</xdr:colOff>
      <xdr:row>31</xdr:row>
      <xdr:rowOff>116220</xdr:rowOff>
    </xdr:to>
    <xdr:grpSp>
      <xdr:nvGrpSpPr>
        <xdr:cNvPr id="5" name="Group 4">
          <a:extLst>
            <a:ext uri="{FF2B5EF4-FFF2-40B4-BE49-F238E27FC236}">
              <a16:creationId xmlns:a16="http://schemas.microsoft.com/office/drawing/2014/main" id="{71F468C6-3BDD-529A-955E-8D7F6058CD8B}"/>
            </a:ext>
          </a:extLst>
        </xdr:cNvPr>
        <xdr:cNvGrpSpPr/>
      </xdr:nvGrpSpPr>
      <xdr:grpSpPr>
        <a:xfrm>
          <a:off x="3924300" y="1089660"/>
          <a:ext cx="7886820" cy="4636785"/>
          <a:chOff x="3924300" y="1101090"/>
          <a:chExt cx="7886820" cy="4684410"/>
        </a:xfrm>
      </xdr:grpSpPr>
      <xdr:grpSp>
        <xdr:nvGrpSpPr>
          <xdr:cNvPr id="2" name="Group 1">
            <a:extLst>
              <a:ext uri="{FF2B5EF4-FFF2-40B4-BE49-F238E27FC236}">
                <a16:creationId xmlns:a16="http://schemas.microsoft.com/office/drawing/2014/main" id="{BBB179BA-BD54-C0BF-1965-E55D46317A4E}"/>
              </a:ext>
            </a:extLst>
          </xdr:cNvPr>
          <xdr:cNvGrpSpPr/>
        </xdr:nvGrpSpPr>
        <xdr:grpSpPr>
          <a:xfrm>
            <a:off x="3924300" y="1101090"/>
            <a:ext cx="7886820" cy="4680000"/>
            <a:chOff x="3924300" y="1101090"/>
            <a:chExt cx="7886820" cy="3851100"/>
          </a:xfrm>
          <a:solidFill>
            <a:schemeClr val="bg2"/>
          </a:solidFill>
        </xdr:grpSpPr>
        <xdr:graphicFrame macro="">
          <xdr:nvGraphicFramePr>
            <xdr:cNvPr id="71" name="Chart 4">
              <a:extLst>
                <a:ext uri="{FF2B5EF4-FFF2-40B4-BE49-F238E27FC236}">
                  <a16:creationId xmlns:a16="http://schemas.microsoft.com/office/drawing/2014/main" id="{45F89F3E-82C1-21B8-7755-8CA4FAC67BF9}"/>
                </a:ext>
              </a:extLst>
            </xdr:cNvPr>
            <xdr:cNvGraphicFramePr/>
          </xdr:nvGraphicFramePr>
          <xdr:xfrm>
            <a:off x="3931920" y="1101090"/>
            <a:ext cx="3916800" cy="1908810"/>
          </xdr:xfrm>
          <a:graphic>
            <a:graphicData uri="http://schemas.openxmlformats.org/drawingml/2006/chart">
              <c:chart xmlns:c="http://schemas.openxmlformats.org/drawingml/2006/chart" xmlns:r="http://schemas.openxmlformats.org/officeDocument/2006/relationships" r:id="rId14"/>
            </a:graphicData>
          </a:graphic>
        </xdr:graphicFrame>
        <xdr:graphicFrame macro="">
          <xdr:nvGraphicFramePr>
            <xdr:cNvPr id="72" name="Chart 5">
              <a:extLst>
                <a:ext uri="{FF2B5EF4-FFF2-40B4-BE49-F238E27FC236}">
                  <a16:creationId xmlns:a16="http://schemas.microsoft.com/office/drawing/2014/main" id="{1BC7D778-7A11-3889-8530-B56804910ED0}"/>
                </a:ext>
              </a:extLst>
            </xdr:cNvPr>
            <xdr:cNvGraphicFramePr/>
          </xdr:nvGraphicFramePr>
          <xdr:xfrm>
            <a:off x="3924300" y="3044190"/>
            <a:ext cx="3916800" cy="1908000"/>
          </xdr:xfrm>
          <a:graphic>
            <a:graphicData uri="http://schemas.openxmlformats.org/drawingml/2006/chart">
              <c:chart xmlns:c="http://schemas.openxmlformats.org/drawingml/2006/chart" xmlns:r="http://schemas.openxmlformats.org/officeDocument/2006/relationships" r:id="rId15"/>
            </a:graphicData>
          </a:graphic>
        </xdr:graphicFrame>
        <xdr:graphicFrame macro="">
          <xdr:nvGraphicFramePr>
            <xdr:cNvPr id="73" name="Chart 72">
              <a:extLst>
                <a:ext uri="{FF2B5EF4-FFF2-40B4-BE49-F238E27FC236}">
                  <a16:creationId xmlns:a16="http://schemas.microsoft.com/office/drawing/2014/main" id="{926F6188-EE2A-4866-880E-191A4781B6BB}"/>
                </a:ext>
              </a:extLst>
            </xdr:cNvPr>
            <xdr:cNvGraphicFramePr>
              <a:graphicFrameLocks/>
            </xdr:cNvGraphicFramePr>
          </xdr:nvGraphicFramePr>
          <xdr:xfrm>
            <a:off x="7894320" y="1104900"/>
            <a:ext cx="3916800" cy="1908000"/>
          </xdr:xfrm>
          <a:graphic>
            <a:graphicData uri="http://schemas.openxmlformats.org/drawingml/2006/chart">
              <c:chart xmlns:c="http://schemas.openxmlformats.org/drawingml/2006/chart" xmlns:r="http://schemas.openxmlformats.org/officeDocument/2006/relationships" r:id="rId16"/>
            </a:graphicData>
          </a:graphic>
        </xdr:graphicFrame>
      </xdr:grpSp>
      <xdr:graphicFrame macro="">
        <xdr:nvGraphicFramePr>
          <xdr:cNvPr id="4" name="Chart 3">
            <a:extLst>
              <a:ext uri="{FF2B5EF4-FFF2-40B4-BE49-F238E27FC236}">
                <a16:creationId xmlns:a16="http://schemas.microsoft.com/office/drawing/2014/main" id="{68E18ACF-A332-4662-BA5E-2691FACD2132}"/>
              </a:ext>
            </a:extLst>
          </xdr:cNvPr>
          <xdr:cNvGraphicFramePr>
            <a:graphicFrameLocks/>
          </xdr:cNvGraphicFramePr>
        </xdr:nvGraphicFramePr>
        <xdr:xfrm>
          <a:off x="7886700" y="3467100"/>
          <a:ext cx="3916800" cy="2318400"/>
        </xdr:xfrm>
        <a:graphic>
          <a:graphicData uri="http://schemas.openxmlformats.org/drawingml/2006/chart">
            <c:chart xmlns:c="http://schemas.openxmlformats.org/drawingml/2006/chart" xmlns:r="http://schemas.openxmlformats.org/officeDocument/2006/relationships" r:id="rId17"/>
          </a:graphicData>
        </a:graphic>
      </xdr:graphicFrame>
    </xdr:grpSp>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avi Mhetre" refreshedDate="46074.692828819447" createdVersion="8" refreshedVersion="8" minRefreshableVersion="3" recordCount="918" xr:uid="{18491449-FB3B-438C-B967-B1EDFA28FBEF}">
  <cacheSource type="worksheet">
    <worksheetSource name="heart"/>
  </cacheSource>
  <cacheFields count="12">
    <cacheField name="Age" numFmtId="0">
      <sharedItems containsSemiMixedTypes="0" containsString="0" containsNumber="1" containsInteger="1" minValue="28" maxValue="77" count="50">
        <n v="40"/>
        <n v="49"/>
        <n v="37"/>
        <n v="48"/>
        <n v="54"/>
        <n v="39"/>
        <n v="45"/>
        <n v="58"/>
        <n v="42"/>
        <n v="38"/>
        <n v="43"/>
        <n v="60"/>
        <n v="36"/>
        <n v="44"/>
        <n v="53"/>
        <n v="52"/>
        <n v="51"/>
        <n v="56"/>
        <n v="41"/>
        <n v="32"/>
        <n v="65"/>
        <n v="35"/>
        <n v="59"/>
        <n v="50"/>
        <n v="47"/>
        <n v="31"/>
        <n v="46"/>
        <n v="57"/>
        <n v="55"/>
        <n v="63"/>
        <n v="66"/>
        <n v="34"/>
        <n v="33"/>
        <n v="61"/>
        <n v="29"/>
        <n v="62"/>
        <n v="28"/>
        <n v="30"/>
        <n v="74"/>
        <n v="68"/>
        <n v="72"/>
        <n v="64"/>
        <n v="69"/>
        <n v="67"/>
        <n v="73"/>
        <n v="70"/>
        <n v="77"/>
        <n v="75"/>
        <n v="76"/>
        <n v="71"/>
      </sharedItems>
      <fieldGroup base="0">
        <rangePr autoStart="0" autoEnd="0" startNum="20" endNum="80" groupInterval="10"/>
        <groupItems count="8">
          <s v="&lt;20"/>
          <s v="20-29"/>
          <s v="30-39"/>
          <s v="40-49"/>
          <s v="50-59"/>
          <s v="60-69"/>
          <s v="70-80"/>
          <s v="&gt;80"/>
        </groupItems>
      </fieldGroup>
    </cacheField>
    <cacheField name="Sex" numFmtId="0">
      <sharedItems count="2">
        <s v="M"/>
        <s v="F"/>
      </sharedItems>
    </cacheField>
    <cacheField name="ChestPainType" numFmtId="0">
      <sharedItems/>
    </cacheField>
    <cacheField name="RestingBP" numFmtId="0">
      <sharedItems containsSemiMixedTypes="0" containsString="0" containsNumber="1" containsInteger="1" minValue="0" maxValue="200"/>
    </cacheField>
    <cacheField name="Cholesterol" numFmtId="0">
      <sharedItems containsSemiMixedTypes="0" containsString="0" containsNumber="1" containsInteger="1" minValue="0" maxValue="603"/>
    </cacheField>
    <cacheField name="FastingBS" numFmtId="0">
      <sharedItems containsSemiMixedTypes="0" containsString="0" containsNumber="1" containsInteger="1" minValue="0" maxValue="1"/>
    </cacheField>
    <cacheField name="RestingECG" numFmtId="0">
      <sharedItems/>
    </cacheField>
    <cacheField name="MaxHR" numFmtId="0">
      <sharedItems containsSemiMixedTypes="0" containsString="0" containsNumber="1" containsInteger="1" minValue="60" maxValue="202"/>
    </cacheField>
    <cacheField name="ExerciseAngina" numFmtId="0">
      <sharedItems count="2">
        <s v="N"/>
        <s v="Y"/>
      </sharedItems>
    </cacheField>
    <cacheField name="Oldpeak" numFmtId="0">
      <sharedItems containsSemiMixedTypes="0" containsString="0" containsNumber="1" minValue="-2.6" maxValue="6.2"/>
    </cacheField>
    <cacheField name="ST_Slope" numFmtId="0">
      <sharedItems/>
    </cacheField>
    <cacheField name="HeartDisease" numFmtId="0">
      <sharedItems containsSemiMixedTypes="0" containsString="0" containsNumber="1" containsInteger="1" minValue="0" maxValue="1" count="2">
        <n v="0"/>
        <n v="1"/>
      </sharedItems>
    </cacheField>
  </cacheFields>
  <extLst>
    <ext xmlns:x14="http://schemas.microsoft.com/office/spreadsheetml/2009/9/main" uri="{725AE2AE-9491-48be-B2B4-4EB974FC3084}">
      <x14:pivotCacheDefinition pivotCacheId="1792540992"/>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18">
  <r>
    <x v="0"/>
    <x v="0"/>
    <s v="ATA"/>
    <n v="140"/>
    <n v="289"/>
    <n v="0"/>
    <s v="Normal"/>
    <n v="172"/>
    <x v="0"/>
    <n v="0"/>
    <s v="Up"/>
    <x v="0"/>
  </r>
  <r>
    <x v="1"/>
    <x v="1"/>
    <s v="NAP"/>
    <n v="160"/>
    <n v="180"/>
    <n v="0"/>
    <s v="Normal"/>
    <n v="156"/>
    <x v="0"/>
    <n v="1"/>
    <s v="Flat"/>
    <x v="1"/>
  </r>
  <r>
    <x v="2"/>
    <x v="0"/>
    <s v="ATA"/>
    <n v="130"/>
    <n v="283"/>
    <n v="0"/>
    <s v="ST"/>
    <n v="98"/>
    <x v="0"/>
    <n v="0"/>
    <s v="Up"/>
    <x v="0"/>
  </r>
  <r>
    <x v="3"/>
    <x v="1"/>
    <s v="ASY"/>
    <n v="138"/>
    <n v="214"/>
    <n v="0"/>
    <s v="Normal"/>
    <n v="108"/>
    <x v="1"/>
    <n v="1.5"/>
    <s v="Flat"/>
    <x v="1"/>
  </r>
  <r>
    <x v="4"/>
    <x v="0"/>
    <s v="NAP"/>
    <n v="150"/>
    <n v="195"/>
    <n v="0"/>
    <s v="Normal"/>
    <n v="122"/>
    <x v="0"/>
    <n v="0"/>
    <s v="Up"/>
    <x v="0"/>
  </r>
  <r>
    <x v="5"/>
    <x v="0"/>
    <s v="NAP"/>
    <n v="120"/>
    <n v="339"/>
    <n v="0"/>
    <s v="Normal"/>
    <n v="170"/>
    <x v="0"/>
    <n v="0"/>
    <s v="Up"/>
    <x v="0"/>
  </r>
  <r>
    <x v="6"/>
    <x v="1"/>
    <s v="ATA"/>
    <n v="130"/>
    <n v="237"/>
    <n v="0"/>
    <s v="Normal"/>
    <n v="170"/>
    <x v="0"/>
    <n v="0"/>
    <s v="Up"/>
    <x v="0"/>
  </r>
  <r>
    <x v="4"/>
    <x v="0"/>
    <s v="ATA"/>
    <n v="110"/>
    <n v="208"/>
    <n v="0"/>
    <s v="Normal"/>
    <n v="142"/>
    <x v="0"/>
    <n v="0"/>
    <s v="Up"/>
    <x v="0"/>
  </r>
  <r>
    <x v="2"/>
    <x v="0"/>
    <s v="ASY"/>
    <n v="140"/>
    <n v="207"/>
    <n v="0"/>
    <s v="Normal"/>
    <n v="130"/>
    <x v="1"/>
    <n v="1.5"/>
    <s v="Flat"/>
    <x v="1"/>
  </r>
  <r>
    <x v="3"/>
    <x v="1"/>
    <s v="ATA"/>
    <n v="120"/>
    <n v="284"/>
    <n v="0"/>
    <s v="Normal"/>
    <n v="120"/>
    <x v="0"/>
    <n v="0"/>
    <s v="Up"/>
    <x v="0"/>
  </r>
  <r>
    <x v="2"/>
    <x v="1"/>
    <s v="NAP"/>
    <n v="130"/>
    <n v="211"/>
    <n v="0"/>
    <s v="Normal"/>
    <n v="142"/>
    <x v="0"/>
    <n v="0"/>
    <s v="Up"/>
    <x v="0"/>
  </r>
  <r>
    <x v="7"/>
    <x v="0"/>
    <s v="ATA"/>
    <n v="136"/>
    <n v="164"/>
    <n v="0"/>
    <s v="ST"/>
    <n v="99"/>
    <x v="1"/>
    <n v="2"/>
    <s v="Flat"/>
    <x v="1"/>
  </r>
  <r>
    <x v="5"/>
    <x v="0"/>
    <s v="ATA"/>
    <n v="120"/>
    <n v="204"/>
    <n v="0"/>
    <s v="Normal"/>
    <n v="145"/>
    <x v="0"/>
    <n v="0"/>
    <s v="Up"/>
    <x v="0"/>
  </r>
  <r>
    <x v="1"/>
    <x v="0"/>
    <s v="ASY"/>
    <n v="140"/>
    <n v="234"/>
    <n v="0"/>
    <s v="Normal"/>
    <n v="140"/>
    <x v="1"/>
    <n v="1"/>
    <s v="Flat"/>
    <x v="1"/>
  </r>
  <r>
    <x v="8"/>
    <x v="1"/>
    <s v="NAP"/>
    <n v="115"/>
    <n v="211"/>
    <n v="0"/>
    <s v="ST"/>
    <n v="137"/>
    <x v="0"/>
    <n v="0"/>
    <s v="Up"/>
    <x v="0"/>
  </r>
  <r>
    <x v="4"/>
    <x v="1"/>
    <s v="ATA"/>
    <n v="120"/>
    <n v="273"/>
    <n v="0"/>
    <s v="Normal"/>
    <n v="150"/>
    <x v="0"/>
    <n v="1.5"/>
    <s v="Flat"/>
    <x v="0"/>
  </r>
  <r>
    <x v="9"/>
    <x v="0"/>
    <s v="ASY"/>
    <n v="110"/>
    <n v="196"/>
    <n v="0"/>
    <s v="Normal"/>
    <n v="166"/>
    <x v="0"/>
    <n v="0"/>
    <s v="Flat"/>
    <x v="1"/>
  </r>
  <r>
    <x v="10"/>
    <x v="1"/>
    <s v="ATA"/>
    <n v="120"/>
    <n v="201"/>
    <n v="0"/>
    <s v="Normal"/>
    <n v="165"/>
    <x v="0"/>
    <n v="0"/>
    <s v="Up"/>
    <x v="0"/>
  </r>
  <r>
    <x v="11"/>
    <x v="0"/>
    <s v="ASY"/>
    <n v="100"/>
    <n v="248"/>
    <n v="0"/>
    <s v="Normal"/>
    <n v="125"/>
    <x v="0"/>
    <n v="1"/>
    <s v="Flat"/>
    <x v="1"/>
  </r>
  <r>
    <x v="12"/>
    <x v="0"/>
    <s v="ATA"/>
    <n v="120"/>
    <n v="267"/>
    <n v="0"/>
    <s v="Normal"/>
    <n v="160"/>
    <x v="0"/>
    <n v="3"/>
    <s v="Flat"/>
    <x v="1"/>
  </r>
  <r>
    <x v="10"/>
    <x v="1"/>
    <s v="TA"/>
    <n v="100"/>
    <n v="223"/>
    <n v="0"/>
    <s v="Normal"/>
    <n v="142"/>
    <x v="0"/>
    <n v="0"/>
    <s v="Up"/>
    <x v="0"/>
  </r>
  <r>
    <x v="13"/>
    <x v="0"/>
    <s v="ATA"/>
    <n v="120"/>
    <n v="184"/>
    <n v="0"/>
    <s v="Normal"/>
    <n v="142"/>
    <x v="0"/>
    <n v="1"/>
    <s v="Flat"/>
    <x v="0"/>
  </r>
  <r>
    <x v="1"/>
    <x v="1"/>
    <s v="ATA"/>
    <n v="124"/>
    <n v="201"/>
    <n v="0"/>
    <s v="Normal"/>
    <n v="164"/>
    <x v="0"/>
    <n v="0"/>
    <s v="Up"/>
    <x v="0"/>
  </r>
  <r>
    <x v="13"/>
    <x v="0"/>
    <s v="ATA"/>
    <n v="150"/>
    <n v="288"/>
    <n v="0"/>
    <s v="Normal"/>
    <n v="150"/>
    <x v="1"/>
    <n v="3"/>
    <s v="Flat"/>
    <x v="1"/>
  </r>
  <r>
    <x v="0"/>
    <x v="0"/>
    <s v="NAP"/>
    <n v="130"/>
    <n v="215"/>
    <n v="0"/>
    <s v="Normal"/>
    <n v="138"/>
    <x v="0"/>
    <n v="0"/>
    <s v="Up"/>
    <x v="0"/>
  </r>
  <r>
    <x v="12"/>
    <x v="0"/>
    <s v="NAP"/>
    <n v="130"/>
    <n v="209"/>
    <n v="0"/>
    <s v="Normal"/>
    <n v="178"/>
    <x v="0"/>
    <n v="0"/>
    <s v="Up"/>
    <x v="0"/>
  </r>
  <r>
    <x v="14"/>
    <x v="0"/>
    <s v="ASY"/>
    <n v="124"/>
    <n v="260"/>
    <n v="0"/>
    <s v="ST"/>
    <n v="112"/>
    <x v="1"/>
    <n v="3"/>
    <s v="Flat"/>
    <x v="0"/>
  </r>
  <r>
    <x v="15"/>
    <x v="0"/>
    <s v="ATA"/>
    <n v="120"/>
    <n v="284"/>
    <n v="0"/>
    <s v="Normal"/>
    <n v="118"/>
    <x v="0"/>
    <n v="0"/>
    <s v="Up"/>
    <x v="0"/>
  </r>
  <r>
    <x v="14"/>
    <x v="1"/>
    <s v="ATA"/>
    <n v="113"/>
    <n v="468"/>
    <n v="0"/>
    <s v="Normal"/>
    <n v="127"/>
    <x v="0"/>
    <n v="0"/>
    <s v="Up"/>
    <x v="0"/>
  </r>
  <r>
    <x v="16"/>
    <x v="0"/>
    <s v="ATA"/>
    <n v="125"/>
    <n v="188"/>
    <n v="0"/>
    <s v="Normal"/>
    <n v="145"/>
    <x v="0"/>
    <n v="0"/>
    <s v="Up"/>
    <x v="0"/>
  </r>
  <r>
    <x v="14"/>
    <x v="0"/>
    <s v="NAP"/>
    <n v="145"/>
    <n v="518"/>
    <n v="0"/>
    <s v="Normal"/>
    <n v="130"/>
    <x v="0"/>
    <n v="0"/>
    <s v="Flat"/>
    <x v="1"/>
  </r>
  <r>
    <x v="17"/>
    <x v="0"/>
    <s v="NAP"/>
    <n v="130"/>
    <n v="167"/>
    <n v="0"/>
    <s v="Normal"/>
    <n v="114"/>
    <x v="0"/>
    <n v="0"/>
    <s v="Up"/>
    <x v="0"/>
  </r>
  <r>
    <x v="4"/>
    <x v="0"/>
    <s v="ASY"/>
    <n v="125"/>
    <n v="224"/>
    <n v="0"/>
    <s v="Normal"/>
    <n v="122"/>
    <x v="0"/>
    <n v="2"/>
    <s v="Flat"/>
    <x v="1"/>
  </r>
  <r>
    <x v="18"/>
    <x v="0"/>
    <s v="ASY"/>
    <n v="130"/>
    <n v="172"/>
    <n v="0"/>
    <s v="ST"/>
    <n v="130"/>
    <x v="0"/>
    <n v="2"/>
    <s v="Flat"/>
    <x v="1"/>
  </r>
  <r>
    <x v="10"/>
    <x v="1"/>
    <s v="ATA"/>
    <n v="150"/>
    <n v="186"/>
    <n v="0"/>
    <s v="Normal"/>
    <n v="154"/>
    <x v="0"/>
    <n v="0"/>
    <s v="Up"/>
    <x v="0"/>
  </r>
  <r>
    <x v="19"/>
    <x v="0"/>
    <s v="ATA"/>
    <n v="125"/>
    <n v="254"/>
    <n v="0"/>
    <s v="Normal"/>
    <n v="155"/>
    <x v="0"/>
    <n v="0"/>
    <s v="Up"/>
    <x v="0"/>
  </r>
  <r>
    <x v="20"/>
    <x v="0"/>
    <s v="ASY"/>
    <n v="140"/>
    <n v="306"/>
    <n v="1"/>
    <s v="Normal"/>
    <n v="87"/>
    <x v="1"/>
    <n v="1.5"/>
    <s v="Flat"/>
    <x v="1"/>
  </r>
  <r>
    <x v="18"/>
    <x v="1"/>
    <s v="ATA"/>
    <n v="110"/>
    <n v="250"/>
    <n v="0"/>
    <s v="ST"/>
    <n v="142"/>
    <x v="0"/>
    <n v="0"/>
    <s v="Up"/>
    <x v="0"/>
  </r>
  <r>
    <x v="3"/>
    <x v="1"/>
    <s v="ATA"/>
    <n v="120"/>
    <n v="177"/>
    <n v="1"/>
    <s v="ST"/>
    <n v="148"/>
    <x v="0"/>
    <n v="0"/>
    <s v="Up"/>
    <x v="0"/>
  </r>
  <r>
    <x v="3"/>
    <x v="1"/>
    <s v="ASY"/>
    <n v="150"/>
    <n v="227"/>
    <n v="0"/>
    <s v="Normal"/>
    <n v="130"/>
    <x v="1"/>
    <n v="1"/>
    <s v="Flat"/>
    <x v="0"/>
  </r>
  <r>
    <x v="4"/>
    <x v="1"/>
    <s v="ATA"/>
    <n v="150"/>
    <n v="230"/>
    <n v="0"/>
    <s v="Normal"/>
    <n v="130"/>
    <x v="0"/>
    <n v="0"/>
    <s v="Up"/>
    <x v="0"/>
  </r>
  <r>
    <x v="4"/>
    <x v="1"/>
    <s v="NAP"/>
    <n v="130"/>
    <n v="294"/>
    <n v="0"/>
    <s v="ST"/>
    <n v="100"/>
    <x v="1"/>
    <n v="0"/>
    <s v="Flat"/>
    <x v="1"/>
  </r>
  <r>
    <x v="21"/>
    <x v="0"/>
    <s v="ATA"/>
    <n v="150"/>
    <n v="264"/>
    <n v="0"/>
    <s v="Normal"/>
    <n v="168"/>
    <x v="0"/>
    <n v="0"/>
    <s v="Up"/>
    <x v="0"/>
  </r>
  <r>
    <x v="15"/>
    <x v="0"/>
    <s v="NAP"/>
    <n v="140"/>
    <n v="259"/>
    <n v="0"/>
    <s v="ST"/>
    <n v="170"/>
    <x v="0"/>
    <n v="0"/>
    <s v="Up"/>
    <x v="0"/>
  </r>
  <r>
    <x v="10"/>
    <x v="0"/>
    <s v="ASY"/>
    <n v="120"/>
    <n v="175"/>
    <n v="0"/>
    <s v="Normal"/>
    <n v="120"/>
    <x v="1"/>
    <n v="1"/>
    <s v="Flat"/>
    <x v="1"/>
  </r>
  <r>
    <x v="22"/>
    <x v="0"/>
    <s v="NAP"/>
    <n v="130"/>
    <n v="318"/>
    <n v="0"/>
    <s v="Normal"/>
    <n v="120"/>
    <x v="1"/>
    <n v="1"/>
    <s v="Flat"/>
    <x v="0"/>
  </r>
  <r>
    <x v="2"/>
    <x v="0"/>
    <s v="ASY"/>
    <n v="120"/>
    <n v="223"/>
    <n v="0"/>
    <s v="Normal"/>
    <n v="168"/>
    <x v="0"/>
    <n v="0"/>
    <s v="Up"/>
    <x v="0"/>
  </r>
  <r>
    <x v="23"/>
    <x v="0"/>
    <s v="ATA"/>
    <n v="140"/>
    <n v="216"/>
    <n v="0"/>
    <s v="Normal"/>
    <n v="170"/>
    <x v="0"/>
    <n v="0"/>
    <s v="Up"/>
    <x v="0"/>
  </r>
  <r>
    <x v="12"/>
    <x v="0"/>
    <s v="NAP"/>
    <n v="112"/>
    <n v="340"/>
    <n v="0"/>
    <s v="Normal"/>
    <n v="184"/>
    <x v="0"/>
    <n v="1"/>
    <s v="Flat"/>
    <x v="0"/>
  </r>
  <r>
    <x v="18"/>
    <x v="0"/>
    <s v="ASY"/>
    <n v="110"/>
    <n v="289"/>
    <n v="0"/>
    <s v="Normal"/>
    <n v="170"/>
    <x v="0"/>
    <n v="0"/>
    <s v="Flat"/>
    <x v="1"/>
  </r>
  <r>
    <x v="23"/>
    <x v="0"/>
    <s v="ASY"/>
    <n v="130"/>
    <n v="233"/>
    <n v="0"/>
    <s v="Normal"/>
    <n v="121"/>
    <x v="1"/>
    <n v="2"/>
    <s v="Flat"/>
    <x v="1"/>
  </r>
  <r>
    <x v="24"/>
    <x v="1"/>
    <s v="ASY"/>
    <n v="120"/>
    <n v="205"/>
    <n v="0"/>
    <s v="Normal"/>
    <n v="98"/>
    <x v="1"/>
    <n v="2"/>
    <s v="Flat"/>
    <x v="1"/>
  </r>
  <r>
    <x v="6"/>
    <x v="0"/>
    <s v="ATA"/>
    <n v="140"/>
    <n v="224"/>
    <n v="1"/>
    <s v="Normal"/>
    <n v="122"/>
    <x v="0"/>
    <n v="0"/>
    <s v="Up"/>
    <x v="0"/>
  </r>
  <r>
    <x v="18"/>
    <x v="1"/>
    <s v="ATA"/>
    <n v="130"/>
    <n v="245"/>
    <n v="0"/>
    <s v="Normal"/>
    <n v="150"/>
    <x v="0"/>
    <n v="0"/>
    <s v="Up"/>
    <x v="0"/>
  </r>
  <r>
    <x v="15"/>
    <x v="1"/>
    <s v="ASY"/>
    <n v="130"/>
    <n v="180"/>
    <n v="0"/>
    <s v="Normal"/>
    <n v="140"/>
    <x v="1"/>
    <n v="1.5"/>
    <s v="Flat"/>
    <x v="0"/>
  </r>
  <r>
    <x v="16"/>
    <x v="1"/>
    <s v="ATA"/>
    <n v="160"/>
    <n v="194"/>
    <n v="0"/>
    <s v="Normal"/>
    <n v="170"/>
    <x v="0"/>
    <n v="0"/>
    <s v="Up"/>
    <x v="0"/>
  </r>
  <r>
    <x v="25"/>
    <x v="0"/>
    <s v="ASY"/>
    <n v="120"/>
    <n v="270"/>
    <n v="0"/>
    <s v="Normal"/>
    <n v="153"/>
    <x v="1"/>
    <n v="1.5"/>
    <s v="Flat"/>
    <x v="1"/>
  </r>
  <r>
    <x v="7"/>
    <x v="0"/>
    <s v="NAP"/>
    <n v="130"/>
    <n v="213"/>
    <n v="0"/>
    <s v="ST"/>
    <n v="140"/>
    <x v="0"/>
    <n v="0"/>
    <s v="Flat"/>
    <x v="1"/>
  </r>
  <r>
    <x v="4"/>
    <x v="0"/>
    <s v="ASY"/>
    <n v="150"/>
    <n v="365"/>
    <n v="0"/>
    <s v="ST"/>
    <n v="134"/>
    <x v="0"/>
    <n v="1"/>
    <s v="Up"/>
    <x v="0"/>
  </r>
  <r>
    <x v="15"/>
    <x v="0"/>
    <s v="ASY"/>
    <n v="112"/>
    <n v="342"/>
    <n v="0"/>
    <s v="ST"/>
    <n v="96"/>
    <x v="1"/>
    <n v="1"/>
    <s v="Flat"/>
    <x v="1"/>
  </r>
  <r>
    <x v="1"/>
    <x v="0"/>
    <s v="ATA"/>
    <n v="100"/>
    <n v="253"/>
    <n v="0"/>
    <s v="Normal"/>
    <n v="174"/>
    <x v="0"/>
    <n v="0"/>
    <s v="Up"/>
    <x v="0"/>
  </r>
  <r>
    <x v="10"/>
    <x v="1"/>
    <s v="NAP"/>
    <n v="150"/>
    <n v="254"/>
    <n v="0"/>
    <s v="Normal"/>
    <n v="175"/>
    <x v="0"/>
    <n v="0"/>
    <s v="Up"/>
    <x v="0"/>
  </r>
  <r>
    <x v="6"/>
    <x v="0"/>
    <s v="ASY"/>
    <n v="140"/>
    <n v="224"/>
    <n v="0"/>
    <s v="Normal"/>
    <n v="144"/>
    <x v="0"/>
    <n v="0"/>
    <s v="Up"/>
    <x v="0"/>
  </r>
  <r>
    <x v="26"/>
    <x v="0"/>
    <s v="ASY"/>
    <n v="120"/>
    <n v="277"/>
    <n v="0"/>
    <s v="Normal"/>
    <n v="125"/>
    <x v="1"/>
    <n v="1"/>
    <s v="Flat"/>
    <x v="1"/>
  </r>
  <r>
    <x v="23"/>
    <x v="1"/>
    <s v="ATA"/>
    <n v="110"/>
    <n v="202"/>
    <n v="0"/>
    <s v="Normal"/>
    <n v="145"/>
    <x v="0"/>
    <n v="0"/>
    <s v="Up"/>
    <x v="0"/>
  </r>
  <r>
    <x v="2"/>
    <x v="1"/>
    <s v="ATA"/>
    <n v="120"/>
    <n v="260"/>
    <n v="0"/>
    <s v="Normal"/>
    <n v="130"/>
    <x v="0"/>
    <n v="0"/>
    <s v="Up"/>
    <x v="0"/>
  </r>
  <r>
    <x v="6"/>
    <x v="1"/>
    <s v="ASY"/>
    <n v="132"/>
    <n v="297"/>
    <n v="0"/>
    <s v="Normal"/>
    <n v="144"/>
    <x v="0"/>
    <n v="0"/>
    <s v="Up"/>
    <x v="0"/>
  </r>
  <r>
    <x v="19"/>
    <x v="0"/>
    <s v="ATA"/>
    <n v="110"/>
    <n v="225"/>
    <n v="0"/>
    <s v="Normal"/>
    <n v="184"/>
    <x v="0"/>
    <n v="0"/>
    <s v="Up"/>
    <x v="0"/>
  </r>
  <r>
    <x v="15"/>
    <x v="0"/>
    <s v="ASY"/>
    <n v="160"/>
    <n v="246"/>
    <n v="0"/>
    <s v="ST"/>
    <n v="82"/>
    <x v="1"/>
    <n v="4"/>
    <s v="Flat"/>
    <x v="1"/>
  </r>
  <r>
    <x v="13"/>
    <x v="0"/>
    <s v="ASY"/>
    <n v="150"/>
    <n v="412"/>
    <n v="0"/>
    <s v="Normal"/>
    <n v="170"/>
    <x v="0"/>
    <n v="0"/>
    <s v="Up"/>
    <x v="0"/>
  </r>
  <r>
    <x v="27"/>
    <x v="0"/>
    <s v="ATA"/>
    <n v="140"/>
    <n v="265"/>
    <n v="0"/>
    <s v="ST"/>
    <n v="145"/>
    <x v="1"/>
    <n v="1"/>
    <s v="Flat"/>
    <x v="1"/>
  </r>
  <r>
    <x v="13"/>
    <x v="0"/>
    <s v="ATA"/>
    <n v="130"/>
    <n v="215"/>
    <n v="0"/>
    <s v="Normal"/>
    <n v="135"/>
    <x v="0"/>
    <n v="0"/>
    <s v="Up"/>
    <x v="0"/>
  </r>
  <r>
    <x v="15"/>
    <x v="0"/>
    <s v="ASY"/>
    <n v="120"/>
    <n v="182"/>
    <n v="0"/>
    <s v="Normal"/>
    <n v="150"/>
    <x v="0"/>
    <n v="0"/>
    <s v="Flat"/>
    <x v="1"/>
  </r>
  <r>
    <x v="13"/>
    <x v="1"/>
    <s v="ASY"/>
    <n v="120"/>
    <n v="218"/>
    <n v="0"/>
    <s v="ST"/>
    <n v="115"/>
    <x v="0"/>
    <n v="0"/>
    <s v="Up"/>
    <x v="0"/>
  </r>
  <r>
    <x v="28"/>
    <x v="0"/>
    <s v="ASY"/>
    <n v="140"/>
    <n v="268"/>
    <n v="0"/>
    <s v="Normal"/>
    <n v="128"/>
    <x v="1"/>
    <n v="1.5"/>
    <s v="Flat"/>
    <x v="1"/>
  </r>
  <r>
    <x v="26"/>
    <x v="0"/>
    <s v="NAP"/>
    <n v="150"/>
    <n v="163"/>
    <n v="0"/>
    <s v="Normal"/>
    <n v="116"/>
    <x v="0"/>
    <n v="0"/>
    <s v="Up"/>
    <x v="0"/>
  </r>
  <r>
    <x v="19"/>
    <x v="0"/>
    <s v="ASY"/>
    <n v="118"/>
    <n v="529"/>
    <n v="0"/>
    <s v="Normal"/>
    <n v="130"/>
    <x v="0"/>
    <n v="0"/>
    <s v="Flat"/>
    <x v="1"/>
  </r>
  <r>
    <x v="21"/>
    <x v="1"/>
    <s v="ASY"/>
    <n v="140"/>
    <n v="167"/>
    <n v="0"/>
    <s v="Normal"/>
    <n v="150"/>
    <x v="0"/>
    <n v="0"/>
    <s v="Up"/>
    <x v="0"/>
  </r>
  <r>
    <x v="15"/>
    <x v="0"/>
    <s v="ATA"/>
    <n v="140"/>
    <n v="100"/>
    <n v="0"/>
    <s v="Normal"/>
    <n v="138"/>
    <x v="1"/>
    <n v="0"/>
    <s v="Up"/>
    <x v="0"/>
  </r>
  <r>
    <x v="1"/>
    <x v="0"/>
    <s v="ASY"/>
    <n v="130"/>
    <n v="206"/>
    <n v="0"/>
    <s v="Normal"/>
    <n v="170"/>
    <x v="0"/>
    <n v="0"/>
    <s v="Flat"/>
    <x v="1"/>
  </r>
  <r>
    <x v="28"/>
    <x v="0"/>
    <s v="NAP"/>
    <n v="110"/>
    <n v="277"/>
    <n v="0"/>
    <s v="Normal"/>
    <n v="160"/>
    <x v="0"/>
    <n v="0"/>
    <s v="Up"/>
    <x v="0"/>
  </r>
  <r>
    <x v="4"/>
    <x v="0"/>
    <s v="ATA"/>
    <n v="120"/>
    <n v="238"/>
    <n v="0"/>
    <s v="Normal"/>
    <n v="154"/>
    <x v="0"/>
    <n v="0"/>
    <s v="Up"/>
    <x v="0"/>
  </r>
  <r>
    <x v="29"/>
    <x v="0"/>
    <s v="ASY"/>
    <n v="150"/>
    <n v="223"/>
    <n v="0"/>
    <s v="Normal"/>
    <n v="115"/>
    <x v="0"/>
    <n v="0"/>
    <s v="Flat"/>
    <x v="1"/>
  </r>
  <r>
    <x v="15"/>
    <x v="0"/>
    <s v="ATA"/>
    <n v="160"/>
    <n v="196"/>
    <n v="0"/>
    <s v="Normal"/>
    <n v="165"/>
    <x v="0"/>
    <n v="0"/>
    <s v="Up"/>
    <x v="0"/>
  </r>
  <r>
    <x v="17"/>
    <x v="0"/>
    <s v="ASY"/>
    <n v="150"/>
    <n v="213"/>
    <n v="1"/>
    <s v="Normal"/>
    <n v="125"/>
    <x v="1"/>
    <n v="1"/>
    <s v="Flat"/>
    <x v="1"/>
  </r>
  <r>
    <x v="30"/>
    <x v="0"/>
    <s v="ASY"/>
    <n v="140"/>
    <n v="139"/>
    <n v="0"/>
    <s v="Normal"/>
    <n v="94"/>
    <x v="1"/>
    <n v="1"/>
    <s v="Flat"/>
    <x v="1"/>
  </r>
  <r>
    <x v="20"/>
    <x v="0"/>
    <s v="ASY"/>
    <n v="170"/>
    <n v="263"/>
    <n v="1"/>
    <s v="Normal"/>
    <n v="112"/>
    <x v="1"/>
    <n v="2"/>
    <s v="Flat"/>
    <x v="1"/>
  </r>
  <r>
    <x v="14"/>
    <x v="1"/>
    <s v="ATA"/>
    <n v="140"/>
    <n v="216"/>
    <n v="0"/>
    <s v="Normal"/>
    <n v="142"/>
    <x v="1"/>
    <n v="2"/>
    <s v="Flat"/>
    <x v="0"/>
  </r>
  <r>
    <x v="10"/>
    <x v="0"/>
    <s v="TA"/>
    <n v="120"/>
    <n v="291"/>
    <n v="0"/>
    <s v="ST"/>
    <n v="155"/>
    <x v="0"/>
    <n v="0"/>
    <s v="Flat"/>
    <x v="1"/>
  </r>
  <r>
    <x v="28"/>
    <x v="0"/>
    <s v="ASY"/>
    <n v="140"/>
    <n v="229"/>
    <n v="0"/>
    <s v="Normal"/>
    <n v="110"/>
    <x v="1"/>
    <n v="0.5"/>
    <s v="Flat"/>
    <x v="0"/>
  </r>
  <r>
    <x v="1"/>
    <x v="1"/>
    <s v="ATA"/>
    <n v="110"/>
    <n v="208"/>
    <n v="0"/>
    <s v="Normal"/>
    <n v="160"/>
    <x v="0"/>
    <n v="0"/>
    <s v="Up"/>
    <x v="0"/>
  </r>
  <r>
    <x v="5"/>
    <x v="0"/>
    <s v="ASY"/>
    <n v="130"/>
    <n v="307"/>
    <n v="0"/>
    <s v="Normal"/>
    <n v="140"/>
    <x v="0"/>
    <n v="0"/>
    <s v="Up"/>
    <x v="0"/>
  </r>
  <r>
    <x v="15"/>
    <x v="1"/>
    <s v="ATA"/>
    <n v="120"/>
    <n v="210"/>
    <n v="0"/>
    <s v="Normal"/>
    <n v="148"/>
    <x v="0"/>
    <n v="0"/>
    <s v="Up"/>
    <x v="0"/>
  </r>
  <r>
    <x v="3"/>
    <x v="0"/>
    <s v="ASY"/>
    <n v="160"/>
    <n v="329"/>
    <n v="0"/>
    <s v="Normal"/>
    <n v="92"/>
    <x v="1"/>
    <n v="1.5"/>
    <s v="Flat"/>
    <x v="1"/>
  </r>
  <r>
    <x v="5"/>
    <x v="1"/>
    <s v="NAP"/>
    <n v="110"/>
    <n v="182"/>
    <n v="0"/>
    <s v="ST"/>
    <n v="180"/>
    <x v="0"/>
    <n v="0"/>
    <s v="Up"/>
    <x v="0"/>
  </r>
  <r>
    <x v="7"/>
    <x v="0"/>
    <s v="ASY"/>
    <n v="130"/>
    <n v="263"/>
    <n v="0"/>
    <s v="Normal"/>
    <n v="140"/>
    <x v="1"/>
    <n v="2"/>
    <s v="Flat"/>
    <x v="1"/>
  </r>
  <r>
    <x v="10"/>
    <x v="0"/>
    <s v="ATA"/>
    <n v="142"/>
    <n v="207"/>
    <n v="0"/>
    <s v="Normal"/>
    <n v="138"/>
    <x v="0"/>
    <n v="0"/>
    <s v="Up"/>
    <x v="0"/>
  </r>
  <r>
    <x v="5"/>
    <x v="0"/>
    <s v="NAP"/>
    <n v="160"/>
    <n v="147"/>
    <n v="1"/>
    <s v="Normal"/>
    <n v="160"/>
    <x v="0"/>
    <n v="0"/>
    <s v="Up"/>
    <x v="0"/>
  </r>
  <r>
    <x v="17"/>
    <x v="0"/>
    <s v="ASY"/>
    <n v="120"/>
    <n v="85"/>
    <n v="0"/>
    <s v="Normal"/>
    <n v="140"/>
    <x v="0"/>
    <n v="0"/>
    <s v="Up"/>
    <x v="0"/>
  </r>
  <r>
    <x v="18"/>
    <x v="0"/>
    <s v="ATA"/>
    <n v="125"/>
    <n v="269"/>
    <n v="0"/>
    <s v="Normal"/>
    <n v="144"/>
    <x v="0"/>
    <n v="0"/>
    <s v="Up"/>
    <x v="0"/>
  </r>
  <r>
    <x v="20"/>
    <x v="0"/>
    <s v="ASY"/>
    <n v="130"/>
    <n v="275"/>
    <n v="0"/>
    <s v="ST"/>
    <n v="115"/>
    <x v="1"/>
    <n v="1"/>
    <s v="Flat"/>
    <x v="1"/>
  </r>
  <r>
    <x v="16"/>
    <x v="0"/>
    <s v="ASY"/>
    <n v="130"/>
    <n v="179"/>
    <n v="0"/>
    <s v="Normal"/>
    <n v="100"/>
    <x v="0"/>
    <n v="0"/>
    <s v="Up"/>
    <x v="0"/>
  </r>
  <r>
    <x v="0"/>
    <x v="1"/>
    <s v="ASY"/>
    <n v="150"/>
    <n v="392"/>
    <n v="0"/>
    <s v="Normal"/>
    <n v="130"/>
    <x v="0"/>
    <n v="2"/>
    <s v="Flat"/>
    <x v="1"/>
  </r>
  <r>
    <x v="0"/>
    <x v="0"/>
    <s v="ASY"/>
    <n v="120"/>
    <n v="466"/>
    <n v="1"/>
    <s v="Normal"/>
    <n v="152"/>
    <x v="1"/>
    <n v="1"/>
    <s v="Flat"/>
    <x v="1"/>
  </r>
  <r>
    <x v="26"/>
    <x v="0"/>
    <s v="ASY"/>
    <n v="118"/>
    <n v="186"/>
    <n v="0"/>
    <s v="Normal"/>
    <n v="124"/>
    <x v="0"/>
    <n v="0"/>
    <s v="Flat"/>
    <x v="1"/>
  </r>
  <r>
    <x v="27"/>
    <x v="0"/>
    <s v="ATA"/>
    <n v="140"/>
    <n v="260"/>
    <n v="1"/>
    <s v="Normal"/>
    <n v="140"/>
    <x v="0"/>
    <n v="0"/>
    <s v="Up"/>
    <x v="0"/>
  </r>
  <r>
    <x v="3"/>
    <x v="1"/>
    <s v="ASY"/>
    <n v="120"/>
    <n v="254"/>
    <n v="0"/>
    <s v="ST"/>
    <n v="110"/>
    <x v="0"/>
    <n v="0"/>
    <s v="Up"/>
    <x v="0"/>
  </r>
  <r>
    <x v="31"/>
    <x v="0"/>
    <s v="ATA"/>
    <n v="150"/>
    <n v="214"/>
    <n v="0"/>
    <s v="ST"/>
    <n v="168"/>
    <x v="0"/>
    <n v="0"/>
    <s v="Up"/>
    <x v="0"/>
  </r>
  <r>
    <x v="23"/>
    <x v="0"/>
    <s v="ASY"/>
    <n v="140"/>
    <n v="129"/>
    <n v="0"/>
    <s v="Normal"/>
    <n v="135"/>
    <x v="0"/>
    <n v="0"/>
    <s v="Up"/>
    <x v="0"/>
  </r>
  <r>
    <x v="5"/>
    <x v="0"/>
    <s v="ATA"/>
    <n v="190"/>
    <n v="241"/>
    <n v="0"/>
    <s v="Normal"/>
    <n v="106"/>
    <x v="0"/>
    <n v="0"/>
    <s v="Up"/>
    <x v="0"/>
  </r>
  <r>
    <x v="22"/>
    <x v="1"/>
    <s v="ATA"/>
    <n v="130"/>
    <n v="188"/>
    <n v="0"/>
    <s v="Normal"/>
    <n v="124"/>
    <x v="0"/>
    <n v="1"/>
    <s v="Flat"/>
    <x v="0"/>
  </r>
  <r>
    <x v="27"/>
    <x v="0"/>
    <s v="ASY"/>
    <n v="150"/>
    <n v="255"/>
    <n v="0"/>
    <s v="Normal"/>
    <n v="92"/>
    <x v="1"/>
    <n v="3"/>
    <s v="Flat"/>
    <x v="1"/>
  </r>
  <r>
    <x v="24"/>
    <x v="0"/>
    <s v="ASY"/>
    <n v="140"/>
    <n v="276"/>
    <n v="1"/>
    <s v="Normal"/>
    <n v="125"/>
    <x v="1"/>
    <n v="0"/>
    <s v="Up"/>
    <x v="0"/>
  </r>
  <r>
    <x v="9"/>
    <x v="0"/>
    <s v="ATA"/>
    <n v="140"/>
    <n v="297"/>
    <n v="0"/>
    <s v="Normal"/>
    <n v="150"/>
    <x v="0"/>
    <n v="0"/>
    <s v="Up"/>
    <x v="0"/>
  </r>
  <r>
    <x v="1"/>
    <x v="1"/>
    <s v="NAP"/>
    <n v="130"/>
    <n v="207"/>
    <n v="0"/>
    <s v="ST"/>
    <n v="135"/>
    <x v="0"/>
    <n v="0"/>
    <s v="Up"/>
    <x v="0"/>
  </r>
  <r>
    <x v="32"/>
    <x v="1"/>
    <s v="ASY"/>
    <n v="100"/>
    <n v="246"/>
    <n v="0"/>
    <s v="Normal"/>
    <n v="150"/>
    <x v="1"/>
    <n v="1"/>
    <s v="Flat"/>
    <x v="1"/>
  </r>
  <r>
    <x v="9"/>
    <x v="0"/>
    <s v="ASY"/>
    <n v="120"/>
    <n v="282"/>
    <n v="0"/>
    <s v="Normal"/>
    <n v="170"/>
    <x v="0"/>
    <n v="0"/>
    <s v="Flat"/>
    <x v="1"/>
  </r>
  <r>
    <x v="22"/>
    <x v="1"/>
    <s v="ASY"/>
    <n v="130"/>
    <n v="338"/>
    <n v="1"/>
    <s v="ST"/>
    <n v="130"/>
    <x v="1"/>
    <n v="1.5"/>
    <s v="Flat"/>
    <x v="1"/>
  </r>
  <r>
    <x v="21"/>
    <x v="1"/>
    <s v="TA"/>
    <n v="120"/>
    <n v="160"/>
    <n v="0"/>
    <s v="ST"/>
    <n v="185"/>
    <x v="0"/>
    <n v="0"/>
    <s v="Up"/>
    <x v="0"/>
  </r>
  <r>
    <x v="31"/>
    <x v="0"/>
    <s v="TA"/>
    <n v="140"/>
    <n v="156"/>
    <n v="0"/>
    <s v="Normal"/>
    <n v="180"/>
    <x v="0"/>
    <n v="0"/>
    <s v="Flat"/>
    <x v="1"/>
  </r>
  <r>
    <x v="24"/>
    <x v="1"/>
    <s v="NAP"/>
    <n v="135"/>
    <n v="248"/>
    <n v="1"/>
    <s v="Normal"/>
    <n v="170"/>
    <x v="0"/>
    <n v="0"/>
    <s v="Flat"/>
    <x v="1"/>
  </r>
  <r>
    <x v="15"/>
    <x v="1"/>
    <s v="NAP"/>
    <n v="125"/>
    <n v="272"/>
    <n v="0"/>
    <s v="Normal"/>
    <n v="139"/>
    <x v="0"/>
    <n v="0"/>
    <s v="Up"/>
    <x v="0"/>
  </r>
  <r>
    <x v="26"/>
    <x v="0"/>
    <s v="ASY"/>
    <n v="110"/>
    <n v="240"/>
    <n v="0"/>
    <s v="ST"/>
    <n v="140"/>
    <x v="0"/>
    <n v="0"/>
    <s v="Up"/>
    <x v="0"/>
  </r>
  <r>
    <x v="7"/>
    <x v="1"/>
    <s v="ATA"/>
    <n v="180"/>
    <n v="393"/>
    <n v="0"/>
    <s v="Normal"/>
    <n v="110"/>
    <x v="1"/>
    <n v="1"/>
    <s v="Flat"/>
    <x v="1"/>
  </r>
  <r>
    <x v="7"/>
    <x v="0"/>
    <s v="ATA"/>
    <n v="130"/>
    <n v="230"/>
    <n v="0"/>
    <s v="Normal"/>
    <n v="150"/>
    <x v="0"/>
    <n v="0"/>
    <s v="Up"/>
    <x v="0"/>
  </r>
  <r>
    <x v="4"/>
    <x v="0"/>
    <s v="ATA"/>
    <n v="120"/>
    <n v="246"/>
    <n v="0"/>
    <s v="Normal"/>
    <n v="110"/>
    <x v="0"/>
    <n v="0"/>
    <s v="Up"/>
    <x v="0"/>
  </r>
  <r>
    <x v="31"/>
    <x v="1"/>
    <s v="ATA"/>
    <n v="130"/>
    <n v="161"/>
    <n v="0"/>
    <s v="Normal"/>
    <n v="190"/>
    <x v="0"/>
    <n v="0"/>
    <s v="Up"/>
    <x v="0"/>
  </r>
  <r>
    <x v="3"/>
    <x v="1"/>
    <s v="ASY"/>
    <n v="108"/>
    <n v="163"/>
    <n v="0"/>
    <s v="Normal"/>
    <n v="175"/>
    <x v="0"/>
    <n v="2"/>
    <s v="Up"/>
    <x v="0"/>
  </r>
  <r>
    <x v="4"/>
    <x v="1"/>
    <s v="ATA"/>
    <n v="120"/>
    <n v="230"/>
    <n v="1"/>
    <s v="Normal"/>
    <n v="140"/>
    <x v="0"/>
    <n v="0"/>
    <s v="Up"/>
    <x v="0"/>
  </r>
  <r>
    <x v="8"/>
    <x v="0"/>
    <s v="NAP"/>
    <n v="120"/>
    <n v="228"/>
    <n v="0"/>
    <s v="Normal"/>
    <n v="152"/>
    <x v="1"/>
    <n v="1.5"/>
    <s v="Flat"/>
    <x v="0"/>
  </r>
  <r>
    <x v="9"/>
    <x v="0"/>
    <s v="NAP"/>
    <n v="145"/>
    <n v="292"/>
    <n v="0"/>
    <s v="Normal"/>
    <n v="130"/>
    <x v="0"/>
    <n v="0"/>
    <s v="Up"/>
    <x v="0"/>
  </r>
  <r>
    <x v="26"/>
    <x v="0"/>
    <s v="ASY"/>
    <n v="110"/>
    <n v="202"/>
    <n v="0"/>
    <s v="Normal"/>
    <n v="150"/>
    <x v="1"/>
    <n v="0"/>
    <s v="Flat"/>
    <x v="1"/>
  </r>
  <r>
    <x v="17"/>
    <x v="0"/>
    <s v="ASY"/>
    <n v="170"/>
    <n v="388"/>
    <n v="0"/>
    <s v="ST"/>
    <n v="122"/>
    <x v="1"/>
    <n v="2"/>
    <s v="Flat"/>
    <x v="1"/>
  </r>
  <r>
    <x v="17"/>
    <x v="0"/>
    <s v="ASY"/>
    <n v="150"/>
    <n v="230"/>
    <n v="0"/>
    <s v="ST"/>
    <n v="124"/>
    <x v="1"/>
    <n v="1.5"/>
    <s v="Flat"/>
    <x v="1"/>
  </r>
  <r>
    <x v="33"/>
    <x v="1"/>
    <s v="ASY"/>
    <n v="130"/>
    <n v="294"/>
    <n v="0"/>
    <s v="ST"/>
    <n v="120"/>
    <x v="1"/>
    <n v="1"/>
    <s v="Flat"/>
    <x v="0"/>
  </r>
  <r>
    <x v="1"/>
    <x v="0"/>
    <s v="NAP"/>
    <n v="115"/>
    <n v="265"/>
    <n v="0"/>
    <s v="Normal"/>
    <n v="175"/>
    <x v="0"/>
    <n v="0"/>
    <s v="Flat"/>
    <x v="1"/>
  </r>
  <r>
    <x v="10"/>
    <x v="1"/>
    <s v="ATA"/>
    <n v="120"/>
    <n v="215"/>
    <n v="0"/>
    <s v="ST"/>
    <n v="175"/>
    <x v="0"/>
    <n v="0"/>
    <s v="Up"/>
    <x v="0"/>
  </r>
  <r>
    <x v="5"/>
    <x v="0"/>
    <s v="ATA"/>
    <n v="120"/>
    <n v="241"/>
    <n v="0"/>
    <s v="ST"/>
    <n v="146"/>
    <x v="0"/>
    <n v="2"/>
    <s v="Up"/>
    <x v="0"/>
  </r>
  <r>
    <x v="4"/>
    <x v="0"/>
    <s v="ASY"/>
    <n v="140"/>
    <n v="166"/>
    <n v="0"/>
    <s v="Normal"/>
    <n v="118"/>
    <x v="1"/>
    <n v="0"/>
    <s v="Flat"/>
    <x v="1"/>
  </r>
  <r>
    <x v="10"/>
    <x v="0"/>
    <s v="ASY"/>
    <n v="150"/>
    <n v="247"/>
    <n v="0"/>
    <s v="Normal"/>
    <n v="130"/>
    <x v="1"/>
    <n v="2"/>
    <s v="Flat"/>
    <x v="1"/>
  </r>
  <r>
    <x v="15"/>
    <x v="0"/>
    <s v="ASY"/>
    <n v="160"/>
    <n v="331"/>
    <n v="0"/>
    <s v="Normal"/>
    <n v="94"/>
    <x v="1"/>
    <n v="2.5"/>
    <s v="Flat"/>
    <x v="1"/>
  </r>
  <r>
    <x v="23"/>
    <x v="0"/>
    <s v="ASY"/>
    <n v="140"/>
    <n v="341"/>
    <n v="0"/>
    <s v="ST"/>
    <n v="125"/>
    <x v="1"/>
    <n v="2.5"/>
    <s v="Flat"/>
    <x v="1"/>
  </r>
  <r>
    <x v="24"/>
    <x v="0"/>
    <s v="ASY"/>
    <n v="160"/>
    <n v="291"/>
    <n v="0"/>
    <s v="ST"/>
    <n v="158"/>
    <x v="1"/>
    <n v="3"/>
    <s v="Flat"/>
    <x v="1"/>
  </r>
  <r>
    <x v="14"/>
    <x v="0"/>
    <s v="ASY"/>
    <n v="140"/>
    <n v="243"/>
    <n v="0"/>
    <s v="Normal"/>
    <n v="155"/>
    <x v="0"/>
    <n v="0"/>
    <s v="Up"/>
    <x v="0"/>
  </r>
  <r>
    <x v="17"/>
    <x v="1"/>
    <s v="ATA"/>
    <n v="120"/>
    <n v="279"/>
    <n v="0"/>
    <s v="Normal"/>
    <n v="150"/>
    <x v="0"/>
    <n v="1"/>
    <s v="Flat"/>
    <x v="1"/>
  </r>
  <r>
    <x v="5"/>
    <x v="0"/>
    <s v="ASY"/>
    <n v="110"/>
    <n v="273"/>
    <n v="0"/>
    <s v="Normal"/>
    <n v="132"/>
    <x v="0"/>
    <n v="0"/>
    <s v="Up"/>
    <x v="0"/>
  </r>
  <r>
    <x v="8"/>
    <x v="0"/>
    <s v="ATA"/>
    <n v="120"/>
    <n v="198"/>
    <n v="0"/>
    <s v="Normal"/>
    <n v="155"/>
    <x v="0"/>
    <n v="0"/>
    <s v="Up"/>
    <x v="0"/>
  </r>
  <r>
    <x v="10"/>
    <x v="1"/>
    <s v="ATA"/>
    <n v="120"/>
    <n v="249"/>
    <n v="0"/>
    <s v="ST"/>
    <n v="176"/>
    <x v="0"/>
    <n v="0"/>
    <s v="Up"/>
    <x v="0"/>
  </r>
  <r>
    <x v="23"/>
    <x v="0"/>
    <s v="ATA"/>
    <n v="120"/>
    <n v="168"/>
    <n v="0"/>
    <s v="Normal"/>
    <n v="160"/>
    <x v="0"/>
    <n v="0"/>
    <s v="Up"/>
    <x v="0"/>
  </r>
  <r>
    <x v="4"/>
    <x v="0"/>
    <s v="ASY"/>
    <n v="130"/>
    <n v="603"/>
    <n v="1"/>
    <s v="Normal"/>
    <n v="125"/>
    <x v="1"/>
    <n v="1"/>
    <s v="Flat"/>
    <x v="1"/>
  </r>
  <r>
    <x v="5"/>
    <x v="0"/>
    <s v="ATA"/>
    <n v="130"/>
    <n v="215"/>
    <n v="0"/>
    <s v="Normal"/>
    <n v="120"/>
    <x v="0"/>
    <n v="0"/>
    <s v="Up"/>
    <x v="0"/>
  </r>
  <r>
    <x v="3"/>
    <x v="0"/>
    <s v="ATA"/>
    <n v="100"/>
    <n v="159"/>
    <n v="0"/>
    <s v="Normal"/>
    <n v="100"/>
    <x v="0"/>
    <n v="0"/>
    <s v="Up"/>
    <x v="0"/>
  </r>
  <r>
    <x v="0"/>
    <x v="0"/>
    <s v="ATA"/>
    <n v="130"/>
    <n v="275"/>
    <n v="0"/>
    <s v="Normal"/>
    <n v="150"/>
    <x v="0"/>
    <n v="0"/>
    <s v="Up"/>
    <x v="0"/>
  </r>
  <r>
    <x v="28"/>
    <x v="0"/>
    <s v="ASY"/>
    <n v="120"/>
    <n v="270"/>
    <n v="0"/>
    <s v="Normal"/>
    <n v="140"/>
    <x v="0"/>
    <n v="0"/>
    <s v="Up"/>
    <x v="0"/>
  </r>
  <r>
    <x v="18"/>
    <x v="0"/>
    <s v="ATA"/>
    <n v="120"/>
    <n v="291"/>
    <n v="0"/>
    <s v="ST"/>
    <n v="160"/>
    <x v="0"/>
    <n v="0"/>
    <s v="Up"/>
    <x v="0"/>
  </r>
  <r>
    <x v="17"/>
    <x v="0"/>
    <s v="ASY"/>
    <n v="155"/>
    <n v="342"/>
    <n v="1"/>
    <s v="Normal"/>
    <n v="150"/>
    <x v="1"/>
    <n v="3"/>
    <s v="Flat"/>
    <x v="1"/>
  </r>
  <r>
    <x v="9"/>
    <x v="0"/>
    <s v="ASY"/>
    <n v="110"/>
    <n v="190"/>
    <n v="0"/>
    <s v="Normal"/>
    <n v="150"/>
    <x v="1"/>
    <n v="1"/>
    <s v="Flat"/>
    <x v="1"/>
  </r>
  <r>
    <x v="1"/>
    <x v="0"/>
    <s v="ASY"/>
    <n v="140"/>
    <n v="185"/>
    <n v="0"/>
    <s v="Normal"/>
    <n v="130"/>
    <x v="0"/>
    <n v="0"/>
    <s v="Up"/>
    <x v="0"/>
  </r>
  <r>
    <x v="13"/>
    <x v="0"/>
    <s v="ASY"/>
    <n v="130"/>
    <n v="290"/>
    <n v="0"/>
    <s v="Normal"/>
    <n v="100"/>
    <x v="1"/>
    <n v="2"/>
    <s v="Flat"/>
    <x v="1"/>
  </r>
  <r>
    <x v="4"/>
    <x v="0"/>
    <s v="ATA"/>
    <n v="160"/>
    <n v="195"/>
    <n v="0"/>
    <s v="ST"/>
    <n v="130"/>
    <x v="0"/>
    <n v="1"/>
    <s v="Up"/>
    <x v="0"/>
  </r>
  <r>
    <x v="22"/>
    <x v="0"/>
    <s v="ASY"/>
    <n v="140"/>
    <n v="264"/>
    <n v="1"/>
    <s v="LVH"/>
    <n v="119"/>
    <x v="1"/>
    <n v="0"/>
    <s v="Flat"/>
    <x v="1"/>
  </r>
  <r>
    <x v="1"/>
    <x v="0"/>
    <s v="ASY"/>
    <n v="128"/>
    <n v="212"/>
    <n v="0"/>
    <s v="Normal"/>
    <n v="96"/>
    <x v="1"/>
    <n v="0"/>
    <s v="Flat"/>
    <x v="1"/>
  </r>
  <r>
    <x v="24"/>
    <x v="0"/>
    <s v="ATA"/>
    <n v="160"/>
    <n v="263"/>
    <n v="0"/>
    <s v="Normal"/>
    <n v="174"/>
    <x v="0"/>
    <n v="0"/>
    <s v="Up"/>
    <x v="0"/>
  </r>
  <r>
    <x v="8"/>
    <x v="0"/>
    <s v="ATA"/>
    <n v="120"/>
    <n v="196"/>
    <n v="0"/>
    <s v="Normal"/>
    <n v="150"/>
    <x v="0"/>
    <n v="0"/>
    <s v="Up"/>
    <x v="0"/>
  </r>
  <r>
    <x v="15"/>
    <x v="1"/>
    <s v="ATA"/>
    <n v="140"/>
    <n v="225"/>
    <n v="0"/>
    <s v="Normal"/>
    <n v="140"/>
    <x v="0"/>
    <n v="0"/>
    <s v="Up"/>
    <x v="0"/>
  </r>
  <r>
    <x v="26"/>
    <x v="0"/>
    <s v="TA"/>
    <n v="140"/>
    <n v="272"/>
    <n v="1"/>
    <s v="Normal"/>
    <n v="175"/>
    <x v="0"/>
    <n v="2"/>
    <s v="Flat"/>
    <x v="1"/>
  </r>
  <r>
    <x v="23"/>
    <x v="0"/>
    <s v="ASY"/>
    <n v="140"/>
    <n v="231"/>
    <n v="0"/>
    <s v="ST"/>
    <n v="140"/>
    <x v="1"/>
    <n v="5"/>
    <s v="Flat"/>
    <x v="1"/>
  </r>
  <r>
    <x v="3"/>
    <x v="0"/>
    <s v="ATA"/>
    <n v="140"/>
    <n v="238"/>
    <n v="0"/>
    <s v="Normal"/>
    <n v="118"/>
    <x v="0"/>
    <n v="0"/>
    <s v="Up"/>
    <x v="0"/>
  </r>
  <r>
    <x v="7"/>
    <x v="0"/>
    <s v="ASY"/>
    <n v="135"/>
    <n v="222"/>
    <n v="0"/>
    <s v="Normal"/>
    <n v="100"/>
    <x v="0"/>
    <n v="0"/>
    <s v="Up"/>
    <x v="0"/>
  </r>
  <r>
    <x v="7"/>
    <x v="0"/>
    <s v="NAP"/>
    <n v="140"/>
    <n v="179"/>
    <n v="0"/>
    <s v="Normal"/>
    <n v="160"/>
    <x v="0"/>
    <n v="0"/>
    <s v="Up"/>
    <x v="0"/>
  </r>
  <r>
    <x v="34"/>
    <x v="0"/>
    <s v="ATA"/>
    <n v="120"/>
    <n v="243"/>
    <n v="0"/>
    <s v="Normal"/>
    <n v="160"/>
    <x v="0"/>
    <n v="0"/>
    <s v="Up"/>
    <x v="0"/>
  </r>
  <r>
    <x v="0"/>
    <x v="0"/>
    <s v="NAP"/>
    <n v="140"/>
    <n v="235"/>
    <n v="0"/>
    <s v="Normal"/>
    <n v="188"/>
    <x v="0"/>
    <n v="0"/>
    <s v="Up"/>
    <x v="0"/>
  </r>
  <r>
    <x v="14"/>
    <x v="0"/>
    <s v="ATA"/>
    <n v="140"/>
    <n v="320"/>
    <n v="0"/>
    <s v="Normal"/>
    <n v="162"/>
    <x v="0"/>
    <n v="0"/>
    <s v="Up"/>
    <x v="0"/>
  </r>
  <r>
    <x v="1"/>
    <x v="0"/>
    <s v="NAP"/>
    <n v="140"/>
    <n v="187"/>
    <n v="0"/>
    <s v="Normal"/>
    <n v="172"/>
    <x v="0"/>
    <n v="0"/>
    <s v="Up"/>
    <x v="0"/>
  </r>
  <r>
    <x v="15"/>
    <x v="0"/>
    <s v="ASY"/>
    <n v="140"/>
    <n v="266"/>
    <n v="0"/>
    <s v="Normal"/>
    <n v="134"/>
    <x v="1"/>
    <n v="2"/>
    <s v="Flat"/>
    <x v="1"/>
  </r>
  <r>
    <x v="10"/>
    <x v="0"/>
    <s v="ASY"/>
    <n v="140"/>
    <n v="288"/>
    <n v="0"/>
    <s v="Normal"/>
    <n v="135"/>
    <x v="1"/>
    <n v="2"/>
    <s v="Flat"/>
    <x v="1"/>
  </r>
  <r>
    <x v="4"/>
    <x v="0"/>
    <s v="ASY"/>
    <n v="140"/>
    <n v="216"/>
    <n v="0"/>
    <s v="Normal"/>
    <n v="105"/>
    <x v="0"/>
    <n v="1.5"/>
    <s v="Flat"/>
    <x v="1"/>
  </r>
  <r>
    <x v="22"/>
    <x v="0"/>
    <s v="ATA"/>
    <n v="140"/>
    <n v="287"/>
    <n v="0"/>
    <s v="Normal"/>
    <n v="150"/>
    <x v="0"/>
    <n v="0"/>
    <s v="Up"/>
    <x v="0"/>
  </r>
  <r>
    <x v="2"/>
    <x v="0"/>
    <s v="NAP"/>
    <n v="130"/>
    <n v="194"/>
    <n v="0"/>
    <s v="Normal"/>
    <n v="150"/>
    <x v="0"/>
    <n v="0"/>
    <s v="Up"/>
    <x v="0"/>
  </r>
  <r>
    <x v="26"/>
    <x v="1"/>
    <s v="ASY"/>
    <n v="130"/>
    <n v="238"/>
    <n v="0"/>
    <s v="Normal"/>
    <n v="90"/>
    <x v="0"/>
    <n v="0"/>
    <s v="Up"/>
    <x v="0"/>
  </r>
  <r>
    <x v="15"/>
    <x v="0"/>
    <s v="ASY"/>
    <n v="130"/>
    <n v="225"/>
    <n v="0"/>
    <s v="Normal"/>
    <n v="120"/>
    <x v="1"/>
    <n v="2"/>
    <s v="Flat"/>
    <x v="1"/>
  </r>
  <r>
    <x v="16"/>
    <x v="0"/>
    <s v="ATA"/>
    <n v="130"/>
    <n v="224"/>
    <n v="0"/>
    <s v="Normal"/>
    <n v="150"/>
    <x v="0"/>
    <n v="0"/>
    <s v="Up"/>
    <x v="0"/>
  </r>
  <r>
    <x v="15"/>
    <x v="0"/>
    <s v="ASY"/>
    <n v="140"/>
    <n v="404"/>
    <n v="0"/>
    <s v="Normal"/>
    <n v="124"/>
    <x v="1"/>
    <n v="2"/>
    <s v="Flat"/>
    <x v="1"/>
  </r>
  <r>
    <x v="26"/>
    <x v="0"/>
    <s v="ASY"/>
    <n v="110"/>
    <n v="238"/>
    <n v="0"/>
    <s v="ST"/>
    <n v="140"/>
    <x v="1"/>
    <n v="1"/>
    <s v="Flat"/>
    <x v="0"/>
  </r>
  <r>
    <x v="4"/>
    <x v="1"/>
    <s v="ATA"/>
    <n v="160"/>
    <n v="312"/>
    <n v="0"/>
    <s v="Normal"/>
    <n v="130"/>
    <x v="0"/>
    <n v="0"/>
    <s v="Up"/>
    <x v="0"/>
  </r>
  <r>
    <x v="7"/>
    <x v="0"/>
    <s v="NAP"/>
    <n v="160"/>
    <n v="211"/>
    <n v="1"/>
    <s v="ST"/>
    <n v="92"/>
    <x v="0"/>
    <n v="0"/>
    <s v="Flat"/>
    <x v="1"/>
  </r>
  <r>
    <x v="7"/>
    <x v="0"/>
    <s v="ATA"/>
    <n v="130"/>
    <n v="251"/>
    <n v="0"/>
    <s v="Normal"/>
    <n v="110"/>
    <x v="0"/>
    <n v="0"/>
    <s v="Up"/>
    <x v="0"/>
  </r>
  <r>
    <x v="18"/>
    <x v="0"/>
    <s v="ASY"/>
    <n v="120"/>
    <n v="237"/>
    <n v="1"/>
    <s v="Normal"/>
    <n v="138"/>
    <x v="1"/>
    <n v="1"/>
    <s v="Flat"/>
    <x v="1"/>
  </r>
  <r>
    <x v="23"/>
    <x v="1"/>
    <s v="ASY"/>
    <n v="120"/>
    <n v="328"/>
    <n v="0"/>
    <s v="Normal"/>
    <n v="110"/>
    <x v="1"/>
    <n v="1"/>
    <s v="Flat"/>
    <x v="0"/>
  </r>
  <r>
    <x v="14"/>
    <x v="0"/>
    <s v="ASY"/>
    <n v="180"/>
    <n v="285"/>
    <n v="0"/>
    <s v="ST"/>
    <n v="120"/>
    <x v="1"/>
    <n v="1.5"/>
    <s v="Flat"/>
    <x v="1"/>
  </r>
  <r>
    <x v="26"/>
    <x v="0"/>
    <s v="ASY"/>
    <n v="180"/>
    <n v="280"/>
    <n v="0"/>
    <s v="ST"/>
    <n v="120"/>
    <x v="0"/>
    <n v="0"/>
    <s v="Up"/>
    <x v="0"/>
  </r>
  <r>
    <x v="23"/>
    <x v="0"/>
    <s v="ATA"/>
    <n v="170"/>
    <n v="209"/>
    <n v="0"/>
    <s v="ST"/>
    <n v="116"/>
    <x v="0"/>
    <n v="0"/>
    <s v="Up"/>
    <x v="0"/>
  </r>
  <r>
    <x v="3"/>
    <x v="0"/>
    <s v="ATA"/>
    <n v="130"/>
    <n v="245"/>
    <n v="0"/>
    <s v="Normal"/>
    <n v="160"/>
    <x v="0"/>
    <n v="0"/>
    <s v="Up"/>
    <x v="0"/>
  </r>
  <r>
    <x v="6"/>
    <x v="0"/>
    <s v="NAP"/>
    <n v="135"/>
    <n v="192"/>
    <n v="0"/>
    <s v="Normal"/>
    <n v="110"/>
    <x v="0"/>
    <n v="0"/>
    <s v="Up"/>
    <x v="0"/>
  </r>
  <r>
    <x v="18"/>
    <x v="1"/>
    <s v="ATA"/>
    <n v="125"/>
    <n v="184"/>
    <n v="0"/>
    <s v="Normal"/>
    <n v="180"/>
    <x v="0"/>
    <n v="0"/>
    <s v="Up"/>
    <x v="0"/>
  </r>
  <r>
    <x v="35"/>
    <x v="1"/>
    <s v="TA"/>
    <n v="160"/>
    <n v="193"/>
    <n v="0"/>
    <s v="Normal"/>
    <n v="116"/>
    <x v="0"/>
    <n v="0"/>
    <s v="Up"/>
    <x v="0"/>
  </r>
  <r>
    <x v="1"/>
    <x v="0"/>
    <s v="ASY"/>
    <n v="120"/>
    <n v="297"/>
    <n v="0"/>
    <s v="Normal"/>
    <n v="132"/>
    <x v="0"/>
    <n v="1"/>
    <s v="Flat"/>
    <x v="0"/>
  </r>
  <r>
    <x v="8"/>
    <x v="0"/>
    <s v="ATA"/>
    <n v="150"/>
    <n v="268"/>
    <n v="0"/>
    <s v="Normal"/>
    <n v="136"/>
    <x v="0"/>
    <n v="0"/>
    <s v="Up"/>
    <x v="0"/>
  </r>
  <r>
    <x v="14"/>
    <x v="0"/>
    <s v="ASY"/>
    <n v="120"/>
    <n v="246"/>
    <n v="0"/>
    <s v="Normal"/>
    <n v="116"/>
    <x v="1"/>
    <n v="0"/>
    <s v="Flat"/>
    <x v="1"/>
  </r>
  <r>
    <x v="27"/>
    <x v="1"/>
    <s v="TA"/>
    <n v="130"/>
    <n v="308"/>
    <n v="0"/>
    <s v="Normal"/>
    <n v="98"/>
    <x v="0"/>
    <n v="1"/>
    <s v="Flat"/>
    <x v="0"/>
  </r>
  <r>
    <x v="24"/>
    <x v="0"/>
    <s v="TA"/>
    <n v="110"/>
    <n v="249"/>
    <n v="0"/>
    <s v="Normal"/>
    <n v="150"/>
    <x v="0"/>
    <n v="0"/>
    <s v="Up"/>
    <x v="0"/>
  </r>
  <r>
    <x v="26"/>
    <x v="0"/>
    <s v="NAP"/>
    <n v="120"/>
    <n v="230"/>
    <n v="0"/>
    <s v="Normal"/>
    <n v="150"/>
    <x v="0"/>
    <n v="0"/>
    <s v="Up"/>
    <x v="0"/>
  </r>
  <r>
    <x v="8"/>
    <x v="0"/>
    <s v="NAP"/>
    <n v="160"/>
    <n v="147"/>
    <n v="0"/>
    <s v="Normal"/>
    <n v="146"/>
    <x v="0"/>
    <n v="0"/>
    <s v="Up"/>
    <x v="0"/>
  </r>
  <r>
    <x v="25"/>
    <x v="1"/>
    <s v="ATA"/>
    <n v="100"/>
    <n v="219"/>
    <n v="0"/>
    <s v="ST"/>
    <n v="150"/>
    <x v="0"/>
    <n v="0"/>
    <s v="Up"/>
    <x v="0"/>
  </r>
  <r>
    <x v="17"/>
    <x v="0"/>
    <s v="ATA"/>
    <n v="130"/>
    <n v="184"/>
    <n v="0"/>
    <s v="Normal"/>
    <n v="100"/>
    <x v="0"/>
    <n v="0"/>
    <s v="Up"/>
    <x v="0"/>
  </r>
  <r>
    <x v="23"/>
    <x v="0"/>
    <s v="ASY"/>
    <n v="150"/>
    <n v="215"/>
    <n v="0"/>
    <s v="Normal"/>
    <n v="140"/>
    <x v="1"/>
    <n v="0"/>
    <s v="Up"/>
    <x v="0"/>
  </r>
  <r>
    <x v="21"/>
    <x v="0"/>
    <s v="ATA"/>
    <n v="120"/>
    <n v="308"/>
    <n v="0"/>
    <s v="LVH"/>
    <n v="180"/>
    <x v="0"/>
    <n v="0"/>
    <s v="Up"/>
    <x v="0"/>
  </r>
  <r>
    <x v="21"/>
    <x v="0"/>
    <s v="ATA"/>
    <n v="110"/>
    <n v="257"/>
    <n v="0"/>
    <s v="Normal"/>
    <n v="140"/>
    <x v="0"/>
    <n v="0"/>
    <s v="Flat"/>
    <x v="1"/>
  </r>
  <r>
    <x v="36"/>
    <x v="0"/>
    <s v="ATA"/>
    <n v="130"/>
    <n v="132"/>
    <n v="0"/>
    <s v="LVH"/>
    <n v="185"/>
    <x v="0"/>
    <n v="0"/>
    <s v="Up"/>
    <x v="0"/>
  </r>
  <r>
    <x v="4"/>
    <x v="0"/>
    <s v="ASY"/>
    <n v="125"/>
    <n v="216"/>
    <n v="0"/>
    <s v="Normal"/>
    <n v="140"/>
    <x v="0"/>
    <n v="0"/>
    <s v="Flat"/>
    <x v="1"/>
  </r>
  <r>
    <x v="3"/>
    <x v="0"/>
    <s v="ASY"/>
    <n v="106"/>
    <n v="263"/>
    <n v="1"/>
    <s v="Normal"/>
    <n v="110"/>
    <x v="0"/>
    <n v="0"/>
    <s v="Flat"/>
    <x v="1"/>
  </r>
  <r>
    <x v="23"/>
    <x v="1"/>
    <s v="NAP"/>
    <n v="140"/>
    <n v="288"/>
    <n v="0"/>
    <s v="Normal"/>
    <n v="140"/>
    <x v="1"/>
    <n v="0"/>
    <s v="Flat"/>
    <x v="1"/>
  </r>
  <r>
    <x v="17"/>
    <x v="0"/>
    <s v="NAP"/>
    <n v="130"/>
    <n v="276"/>
    <n v="0"/>
    <s v="Normal"/>
    <n v="128"/>
    <x v="1"/>
    <n v="1"/>
    <s v="Up"/>
    <x v="0"/>
  </r>
  <r>
    <x v="17"/>
    <x v="1"/>
    <s v="NAP"/>
    <n v="130"/>
    <n v="219"/>
    <n v="0"/>
    <s v="ST"/>
    <n v="164"/>
    <x v="0"/>
    <n v="0"/>
    <s v="Up"/>
    <x v="0"/>
  </r>
  <r>
    <x v="24"/>
    <x v="0"/>
    <s v="ASY"/>
    <n v="150"/>
    <n v="226"/>
    <n v="0"/>
    <s v="Normal"/>
    <n v="98"/>
    <x v="1"/>
    <n v="1.5"/>
    <s v="Flat"/>
    <x v="1"/>
  </r>
  <r>
    <x v="37"/>
    <x v="1"/>
    <s v="TA"/>
    <n v="170"/>
    <n v="237"/>
    <n v="0"/>
    <s v="ST"/>
    <n v="170"/>
    <x v="0"/>
    <n v="0"/>
    <s v="Up"/>
    <x v="0"/>
  </r>
  <r>
    <x v="5"/>
    <x v="0"/>
    <s v="ASY"/>
    <n v="110"/>
    <n v="280"/>
    <n v="0"/>
    <s v="Normal"/>
    <n v="150"/>
    <x v="0"/>
    <n v="0"/>
    <s v="Flat"/>
    <x v="1"/>
  </r>
  <r>
    <x v="4"/>
    <x v="0"/>
    <s v="NAP"/>
    <n v="120"/>
    <n v="217"/>
    <n v="0"/>
    <s v="Normal"/>
    <n v="137"/>
    <x v="0"/>
    <n v="0"/>
    <s v="Up"/>
    <x v="0"/>
  </r>
  <r>
    <x v="28"/>
    <x v="0"/>
    <s v="ATA"/>
    <n v="140"/>
    <n v="196"/>
    <n v="0"/>
    <s v="Normal"/>
    <n v="150"/>
    <x v="0"/>
    <n v="0"/>
    <s v="Up"/>
    <x v="0"/>
  </r>
  <r>
    <x v="34"/>
    <x v="0"/>
    <s v="ATA"/>
    <n v="140"/>
    <n v="263"/>
    <n v="0"/>
    <s v="Normal"/>
    <n v="170"/>
    <x v="0"/>
    <n v="0"/>
    <s v="Up"/>
    <x v="0"/>
  </r>
  <r>
    <x v="26"/>
    <x v="0"/>
    <s v="ASY"/>
    <n v="130"/>
    <n v="222"/>
    <n v="0"/>
    <s v="Normal"/>
    <n v="112"/>
    <x v="0"/>
    <n v="0"/>
    <s v="Flat"/>
    <x v="1"/>
  </r>
  <r>
    <x v="16"/>
    <x v="1"/>
    <s v="ASY"/>
    <n v="160"/>
    <n v="303"/>
    <n v="0"/>
    <s v="Normal"/>
    <n v="150"/>
    <x v="1"/>
    <n v="1"/>
    <s v="Flat"/>
    <x v="1"/>
  </r>
  <r>
    <x v="3"/>
    <x v="1"/>
    <s v="NAP"/>
    <n v="120"/>
    <n v="195"/>
    <n v="0"/>
    <s v="Normal"/>
    <n v="125"/>
    <x v="0"/>
    <n v="0"/>
    <s v="Up"/>
    <x v="0"/>
  </r>
  <r>
    <x v="32"/>
    <x v="0"/>
    <s v="NAP"/>
    <n v="120"/>
    <n v="298"/>
    <n v="0"/>
    <s v="Normal"/>
    <n v="185"/>
    <x v="0"/>
    <n v="0"/>
    <s v="Up"/>
    <x v="0"/>
  </r>
  <r>
    <x v="28"/>
    <x v="0"/>
    <s v="ATA"/>
    <n v="120"/>
    <n v="256"/>
    <n v="1"/>
    <s v="Normal"/>
    <n v="137"/>
    <x v="0"/>
    <n v="0"/>
    <s v="Up"/>
    <x v="0"/>
  </r>
  <r>
    <x v="23"/>
    <x v="0"/>
    <s v="ASY"/>
    <n v="145"/>
    <n v="264"/>
    <n v="0"/>
    <s v="Normal"/>
    <n v="150"/>
    <x v="0"/>
    <n v="0"/>
    <s v="Flat"/>
    <x v="1"/>
  </r>
  <r>
    <x v="14"/>
    <x v="0"/>
    <s v="NAP"/>
    <n v="120"/>
    <n v="195"/>
    <n v="0"/>
    <s v="Normal"/>
    <n v="140"/>
    <x v="0"/>
    <n v="0"/>
    <s v="Up"/>
    <x v="0"/>
  </r>
  <r>
    <x v="9"/>
    <x v="0"/>
    <s v="ASY"/>
    <n v="92"/>
    <n v="117"/>
    <n v="0"/>
    <s v="Normal"/>
    <n v="134"/>
    <x v="1"/>
    <n v="2.5"/>
    <s v="Flat"/>
    <x v="1"/>
  </r>
  <r>
    <x v="18"/>
    <x v="0"/>
    <s v="ATA"/>
    <n v="120"/>
    <n v="295"/>
    <n v="0"/>
    <s v="Normal"/>
    <n v="170"/>
    <x v="0"/>
    <n v="0"/>
    <s v="Up"/>
    <x v="0"/>
  </r>
  <r>
    <x v="2"/>
    <x v="1"/>
    <s v="ASY"/>
    <n v="130"/>
    <n v="173"/>
    <n v="0"/>
    <s v="ST"/>
    <n v="184"/>
    <x v="0"/>
    <n v="0"/>
    <s v="Up"/>
    <x v="0"/>
  </r>
  <r>
    <x v="2"/>
    <x v="0"/>
    <s v="ASY"/>
    <n v="130"/>
    <n v="315"/>
    <n v="0"/>
    <s v="Normal"/>
    <n v="158"/>
    <x v="0"/>
    <n v="0"/>
    <s v="Up"/>
    <x v="0"/>
  </r>
  <r>
    <x v="0"/>
    <x v="0"/>
    <s v="NAP"/>
    <n v="130"/>
    <n v="281"/>
    <n v="0"/>
    <s v="Normal"/>
    <n v="167"/>
    <x v="0"/>
    <n v="0"/>
    <s v="Up"/>
    <x v="0"/>
  </r>
  <r>
    <x v="9"/>
    <x v="1"/>
    <s v="ATA"/>
    <n v="120"/>
    <n v="275"/>
    <n v="0"/>
    <s v="Normal"/>
    <n v="129"/>
    <x v="0"/>
    <n v="0"/>
    <s v="Up"/>
    <x v="0"/>
  </r>
  <r>
    <x v="18"/>
    <x v="0"/>
    <s v="ASY"/>
    <n v="112"/>
    <n v="250"/>
    <n v="0"/>
    <s v="Normal"/>
    <n v="142"/>
    <x v="0"/>
    <n v="0"/>
    <s v="Up"/>
    <x v="0"/>
  </r>
  <r>
    <x v="4"/>
    <x v="1"/>
    <s v="ATA"/>
    <n v="140"/>
    <n v="309"/>
    <n v="0"/>
    <s v="ST"/>
    <n v="140"/>
    <x v="0"/>
    <n v="0"/>
    <s v="Up"/>
    <x v="0"/>
  </r>
  <r>
    <x v="5"/>
    <x v="0"/>
    <s v="ATA"/>
    <n v="120"/>
    <n v="200"/>
    <n v="0"/>
    <s v="Normal"/>
    <n v="160"/>
    <x v="1"/>
    <n v="1"/>
    <s v="Flat"/>
    <x v="0"/>
  </r>
  <r>
    <x v="18"/>
    <x v="0"/>
    <s v="ASY"/>
    <n v="120"/>
    <n v="336"/>
    <n v="0"/>
    <s v="Normal"/>
    <n v="118"/>
    <x v="1"/>
    <n v="3"/>
    <s v="Flat"/>
    <x v="1"/>
  </r>
  <r>
    <x v="28"/>
    <x v="0"/>
    <s v="TA"/>
    <n v="140"/>
    <n v="295"/>
    <n v="0"/>
    <s v="Normal"/>
    <n v="136"/>
    <x v="0"/>
    <n v="0"/>
    <s v="Flat"/>
    <x v="1"/>
  </r>
  <r>
    <x v="3"/>
    <x v="0"/>
    <s v="ASY"/>
    <n v="160"/>
    <n v="355"/>
    <n v="0"/>
    <s v="Normal"/>
    <n v="99"/>
    <x v="1"/>
    <n v="2"/>
    <s v="Flat"/>
    <x v="1"/>
  </r>
  <r>
    <x v="3"/>
    <x v="0"/>
    <s v="ASY"/>
    <n v="160"/>
    <n v="193"/>
    <n v="0"/>
    <s v="Normal"/>
    <n v="102"/>
    <x v="1"/>
    <n v="3"/>
    <s v="Flat"/>
    <x v="1"/>
  </r>
  <r>
    <x v="28"/>
    <x v="0"/>
    <s v="ATA"/>
    <n v="145"/>
    <n v="326"/>
    <n v="0"/>
    <s v="Normal"/>
    <n v="155"/>
    <x v="0"/>
    <n v="0"/>
    <s v="Up"/>
    <x v="0"/>
  </r>
  <r>
    <x v="4"/>
    <x v="0"/>
    <s v="ASY"/>
    <n v="200"/>
    <n v="198"/>
    <n v="0"/>
    <s v="Normal"/>
    <n v="142"/>
    <x v="1"/>
    <n v="2"/>
    <s v="Flat"/>
    <x v="1"/>
  </r>
  <r>
    <x v="28"/>
    <x v="0"/>
    <s v="ATA"/>
    <n v="160"/>
    <n v="292"/>
    <n v="1"/>
    <s v="Normal"/>
    <n v="143"/>
    <x v="1"/>
    <n v="2"/>
    <s v="Flat"/>
    <x v="1"/>
  </r>
  <r>
    <x v="10"/>
    <x v="1"/>
    <s v="ATA"/>
    <n v="120"/>
    <n v="266"/>
    <n v="0"/>
    <s v="Normal"/>
    <n v="118"/>
    <x v="0"/>
    <n v="0"/>
    <s v="Up"/>
    <x v="0"/>
  </r>
  <r>
    <x v="3"/>
    <x v="0"/>
    <s v="ASY"/>
    <n v="160"/>
    <n v="268"/>
    <n v="0"/>
    <s v="Normal"/>
    <n v="103"/>
    <x v="1"/>
    <n v="1"/>
    <s v="Flat"/>
    <x v="1"/>
  </r>
  <r>
    <x v="4"/>
    <x v="0"/>
    <s v="TA"/>
    <n v="120"/>
    <n v="171"/>
    <n v="0"/>
    <s v="Normal"/>
    <n v="137"/>
    <x v="0"/>
    <n v="2"/>
    <s v="Up"/>
    <x v="0"/>
  </r>
  <r>
    <x v="4"/>
    <x v="0"/>
    <s v="NAP"/>
    <n v="120"/>
    <n v="237"/>
    <n v="0"/>
    <s v="Normal"/>
    <n v="150"/>
    <x v="1"/>
    <n v="1.5"/>
    <s v="Flat"/>
    <x v="1"/>
  </r>
  <r>
    <x v="3"/>
    <x v="0"/>
    <s v="ASY"/>
    <n v="122"/>
    <n v="275"/>
    <n v="1"/>
    <s v="ST"/>
    <n v="150"/>
    <x v="1"/>
    <n v="2"/>
    <s v="Down"/>
    <x v="1"/>
  </r>
  <r>
    <x v="6"/>
    <x v="0"/>
    <s v="ASY"/>
    <n v="130"/>
    <n v="219"/>
    <n v="0"/>
    <s v="ST"/>
    <n v="130"/>
    <x v="1"/>
    <n v="1"/>
    <s v="Flat"/>
    <x v="1"/>
  </r>
  <r>
    <x v="1"/>
    <x v="0"/>
    <s v="ASY"/>
    <n v="130"/>
    <n v="341"/>
    <n v="0"/>
    <s v="Normal"/>
    <n v="120"/>
    <x v="1"/>
    <n v="1"/>
    <s v="Flat"/>
    <x v="1"/>
  </r>
  <r>
    <x v="13"/>
    <x v="0"/>
    <s v="ASY"/>
    <n v="135"/>
    <n v="491"/>
    <n v="0"/>
    <s v="Normal"/>
    <n v="135"/>
    <x v="0"/>
    <n v="0"/>
    <s v="Flat"/>
    <x v="1"/>
  </r>
  <r>
    <x v="3"/>
    <x v="0"/>
    <s v="ASY"/>
    <n v="120"/>
    <n v="260"/>
    <n v="0"/>
    <s v="Normal"/>
    <n v="115"/>
    <x v="0"/>
    <n v="2"/>
    <s v="Flat"/>
    <x v="1"/>
  </r>
  <r>
    <x v="33"/>
    <x v="0"/>
    <s v="ASY"/>
    <n v="125"/>
    <n v="292"/>
    <n v="0"/>
    <s v="ST"/>
    <n v="115"/>
    <x v="1"/>
    <n v="0"/>
    <s v="Up"/>
    <x v="0"/>
  </r>
  <r>
    <x v="35"/>
    <x v="0"/>
    <s v="ATA"/>
    <n v="140"/>
    <n v="271"/>
    <n v="0"/>
    <s v="Normal"/>
    <n v="152"/>
    <x v="0"/>
    <n v="1"/>
    <s v="Up"/>
    <x v="0"/>
  </r>
  <r>
    <x v="28"/>
    <x v="0"/>
    <s v="ASY"/>
    <n v="145"/>
    <n v="248"/>
    <n v="0"/>
    <s v="Normal"/>
    <n v="96"/>
    <x v="1"/>
    <n v="2"/>
    <s v="Flat"/>
    <x v="1"/>
  </r>
  <r>
    <x v="14"/>
    <x v="1"/>
    <s v="NAP"/>
    <n v="120"/>
    <n v="274"/>
    <n v="0"/>
    <s v="Normal"/>
    <n v="130"/>
    <x v="0"/>
    <n v="0"/>
    <s v="Up"/>
    <x v="0"/>
  </r>
  <r>
    <x v="28"/>
    <x v="1"/>
    <s v="ATA"/>
    <n v="130"/>
    <n v="394"/>
    <n v="0"/>
    <s v="LVH"/>
    <n v="150"/>
    <x v="0"/>
    <n v="0"/>
    <s v="Up"/>
    <x v="0"/>
  </r>
  <r>
    <x v="12"/>
    <x v="0"/>
    <s v="NAP"/>
    <n v="150"/>
    <n v="160"/>
    <n v="0"/>
    <s v="Normal"/>
    <n v="172"/>
    <x v="0"/>
    <n v="0"/>
    <s v="Up"/>
    <x v="0"/>
  </r>
  <r>
    <x v="16"/>
    <x v="1"/>
    <s v="NAP"/>
    <n v="150"/>
    <n v="200"/>
    <n v="0"/>
    <s v="Normal"/>
    <n v="120"/>
    <x v="0"/>
    <n v="0.5"/>
    <s v="Up"/>
    <x v="0"/>
  </r>
  <r>
    <x v="28"/>
    <x v="1"/>
    <s v="ATA"/>
    <n v="122"/>
    <n v="320"/>
    <n v="0"/>
    <s v="Normal"/>
    <n v="155"/>
    <x v="0"/>
    <n v="0"/>
    <s v="Up"/>
    <x v="0"/>
  </r>
  <r>
    <x v="26"/>
    <x v="0"/>
    <s v="ATA"/>
    <n v="140"/>
    <n v="275"/>
    <n v="0"/>
    <s v="Normal"/>
    <n v="165"/>
    <x v="1"/>
    <n v="0"/>
    <s v="Up"/>
    <x v="0"/>
  </r>
  <r>
    <x v="4"/>
    <x v="1"/>
    <s v="ATA"/>
    <n v="120"/>
    <n v="221"/>
    <n v="0"/>
    <s v="Normal"/>
    <n v="138"/>
    <x v="0"/>
    <n v="1"/>
    <s v="Up"/>
    <x v="0"/>
  </r>
  <r>
    <x v="26"/>
    <x v="0"/>
    <s v="ASY"/>
    <n v="120"/>
    <n v="231"/>
    <n v="0"/>
    <s v="Normal"/>
    <n v="115"/>
    <x v="1"/>
    <n v="0"/>
    <s v="Flat"/>
    <x v="1"/>
  </r>
  <r>
    <x v="22"/>
    <x v="0"/>
    <s v="ASY"/>
    <n v="130"/>
    <n v="126"/>
    <n v="0"/>
    <s v="Normal"/>
    <n v="125"/>
    <x v="0"/>
    <n v="0"/>
    <s v="Flat"/>
    <x v="1"/>
  </r>
  <r>
    <x v="24"/>
    <x v="0"/>
    <s v="NAP"/>
    <n v="140"/>
    <n v="193"/>
    <n v="0"/>
    <s v="Normal"/>
    <n v="145"/>
    <x v="1"/>
    <n v="1"/>
    <s v="Flat"/>
    <x v="1"/>
  </r>
  <r>
    <x v="4"/>
    <x v="0"/>
    <s v="ATA"/>
    <n v="160"/>
    <n v="305"/>
    <n v="0"/>
    <s v="Normal"/>
    <n v="175"/>
    <x v="0"/>
    <n v="0"/>
    <s v="Up"/>
    <x v="0"/>
  </r>
  <r>
    <x v="15"/>
    <x v="0"/>
    <s v="ASY"/>
    <n v="130"/>
    <n v="298"/>
    <n v="0"/>
    <s v="Normal"/>
    <n v="110"/>
    <x v="1"/>
    <n v="1"/>
    <s v="Flat"/>
    <x v="1"/>
  </r>
  <r>
    <x v="31"/>
    <x v="0"/>
    <s v="ATA"/>
    <n v="98"/>
    <n v="220"/>
    <n v="0"/>
    <s v="Normal"/>
    <n v="150"/>
    <x v="0"/>
    <n v="0"/>
    <s v="Up"/>
    <x v="0"/>
  </r>
  <r>
    <x v="4"/>
    <x v="0"/>
    <s v="ASY"/>
    <n v="130"/>
    <n v="242"/>
    <n v="0"/>
    <s v="Normal"/>
    <n v="91"/>
    <x v="1"/>
    <n v="1"/>
    <s v="Flat"/>
    <x v="1"/>
  </r>
  <r>
    <x v="24"/>
    <x v="1"/>
    <s v="NAP"/>
    <n v="130"/>
    <n v="235"/>
    <n v="0"/>
    <s v="Normal"/>
    <n v="145"/>
    <x v="0"/>
    <n v="2"/>
    <s v="Flat"/>
    <x v="0"/>
  </r>
  <r>
    <x v="6"/>
    <x v="0"/>
    <s v="ASY"/>
    <n v="120"/>
    <n v="225"/>
    <n v="0"/>
    <s v="Normal"/>
    <n v="140"/>
    <x v="0"/>
    <n v="0"/>
    <s v="Up"/>
    <x v="0"/>
  </r>
  <r>
    <x v="19"/>
    <x v="1"/>
    <s v="ATA"/>
    <n v="105"/>
    <n v="198"/>
    <n v="0"/>
    <s v="Normal"/>
    <n v="165"/>
    <x v="0"/>
    <n v="0"/>
    <s v="Up"/>
    <x v="0"/>
  </r>
  <r>
    <x v="28"/>
    <x v="0"/>
    <s v="ASY"/>
    <n v="140"/>
    <n v="201"/>
    <n v="0"/>
    <s v="Normal"/>
    <n v="130"/>
    <x v="1"/>
    <n v="3"/>
    <s v="Flat"/>
    <x v="1"/>
  </r>
  <r>
    <x v="28"/>
    <x v="0"/>
    <s v="NAP"/>
    <n v="120"/>
    <n v="220"/>
    <n v="0"/>
    <s v="LVH"/>
    <n v="134"/>
    <x v="0"/>
    <n v="0"/>
    <s v="Up"/>
    <x v="0"/>
  </r>
  <r>
    <x v="6"/>
    <x v="1"/>
    <s v="ATA"/>
    <n v="180"/>
    <n v="295"/>
    <n v="0"/>
    <s v="Normal"/>
    <n v="180"/>
    <x v="0"/>
    <n v="0"/>
    <s v="Up"/>
    <x v="0"/>
  </r>
  <r>
    <x v="22"/>
    <x v="0"/>
    <s v="NAP"/>
    <n v="180"/>
    <n v="213"/>
    <n v="0"/>
    <s v="Normal"/>
    <n v="100"/>
    <x v="0"/>
    <n v="0"/>
    <s v="Up"/>
    <x v="0"/>
  </r>
  <r>
    <x v="16"/>
    <x v="0"/>
    <s v="NAP"/>
    <n v="135"/>
    <n v="160"/>
    <n v="0"/>
    <s v="Normal"/>
    <n v="150"/>
    <x v="0"/>
    <n v="2"/>
    <s v="Flat"/>
    <x v="1"/>
  </r>
  <r>
    <x v="15"/>
    <x v="0"/>
    <s v="ASY"/>
    <n v="170"/>
    <n v="223"/>
    <n v="0"/>
    <s v="Normal"/>
    <n v="126"/>
    <x v="1"/>
    <n v="1.5"/>
    <s v="Flat"/>
    <x v="1"/>
  </r>
  <r>
    <x v="27"/>
    <x v="1"/>
    <s v="ASY"/>
    <n v="180"/>
    <n v="347"/>
    <n v="0"/>
    <s v="ST"/>
    <n v="126"/>
    <x v="1"/>
    <n v="0.8"/>
    <s v="Flat"/>
    <x v="0"/>
  </r>
  <r>
    <x v="4"/>
    <x v="1"/>
    <s v="ATA"/>
    <n v="130"/>
    <n v="253"/>
    <n v="0"/>
    <s v="ST"/>
    <n v="155"/>
    <x v="0"/>
    <n v="0"/>
    <s v="Up"/>
    <x v="0"/>
  </r>
  <r>
    <x v="11"/>
    <x v="0"/>
    <s v="NAP"/>
    <n v="120"/>
    <n v="246"/>
    <n v="0"/>
    <s v="LVH"/>
    <n v="135"/>
    <x v="0"/>
    <n v="0"/>
    <s v="Up"/>
    <x v="0"/>
  </r>
  <r>
    <x v="1"/>
    <x v="0"/>
    <s v="ASY"/>
    <n v="150"/>
    <n v="222"/>
    <n v="0"/>
    <s v="Normal"/>
    <n v="122"/>
    <x v="0"/>
    <n v="2"/>
    <s v="Flat"/>
    <x v="1"/>
  </r>
  <r>
    <x v="16"/>
    <x v="1"/>
    <s v="NAP"/>
    <n v="130"/>
    <n v="220"/>
    <n v="0"/>
    <s v="Normal"/>
    <n v="160"/>
    <x v="1"/>
    <n v="2"/>
    <s v="Up"/>
    <x v="0"/>
  </r>
  <r>
    <x v="28"/>
    <x v="1"/>
    <s v="ATA"/>
    <n v="110"/>
    <n v="344"/>
    <n v="0"/>
    <s v="ST"/>
    <n v="160"/>
    <x v="0"/>
    <n v="0"/>
    <s v="Up"/>
    <x v="0"/>
  </r>
  <r>
    <x v="8"/>
    <x v="0"/>
    <s v="ASY"/>
    <n v="140"/>
    <n v="358"/>
    <n v="0"/>
    <s v="Normal"/>
    <n v="170"/>
    <x v="0"/>
    <n v="0"/>
    <s v="Up"/>
    <x v="0"/>
  </r>
  <r>
    <x v="16"/>
    <x v="1"/>
    <s v="NAP"/>
    <n v="110"/>
    <n v="190"/>
    <n v="0"/>
    <s v="Normal"/>
    <n v="120"/>
    <x v="0"/>
    <n v="0"/>
    <s v="Up"/>
    <x v="0"/>
  </r>
  <r>
    <x v="22"/>
    <x v="0"/>
    <s v="ASY"/>
    <n v="140"/>
    <n v="169"/>
    <n v="0"/>
    <s v="Normal"/>
    <n v="140"/>
    <x v="0"/>
    <n v="0"/>
    <s v="Up"/>
    <x v="0"/>
  </r>
  <r>
    <x v="14"/>
    <x v="0"/>
    <s v="ATA"/>
    <n v="120"/>
    <n v="181"/>
    <n v="0"/>
    <s v="Normal"/>
    <n v="132"/>
    <x v="0"/>
    <n v="0"/>
    <s v="Up"/>
    <x v="0"/>
  </r>
  <r>
    <x v="3"/>
    <x v="1"/>
    <s v="ATA"/>
    <n v="133"/>
    <n v="308"/>
    <n v="0"/>
    <s v="ST"/>
    <n v="156"/>
    <x v="0"/>
    <n v="2"/>
    <s v="Up"/>
    <x v="0"/>
  </r>
  <r>
    <x v="12"/>
    <x v="0"/>
    <s v="ATA"/>
    <n v="120"/>
    <n v="166"/>
    <n v="0"/>
    <s v="Normal"/>
    <n v="180"/>
    <x v="0"/>
    <n v="0"/>
    <s v="Up"/>
    <x v="0"/>
  </r>
  <r>
    <x v="3"/>
    <x v="0"/>
    <s v="NAP"/>
    <n v="110"/>
    <n v="211"/>
    <n v="0"/>
    <s v="Normal"/>
    <n v="138"/>
    <x v="0"/>
    <n v="0"/>
    <s v="Up"/>
    <x v="0"/>
  </r>
  <r>
    <x v="24"/>
    <x v="1"/>
    <s v="ATA"/>
    <n v="140"/>
    <n v="257"/>
    <n v="0"/>
    <s v="Normal"/>
    <n v="135"/>
    <x v="0"/>
    <n v="1"/>
    <s v="Up"/>
    <x v="0"/>
  </r>
  <r>
    <x v="14"/>
    <x v="0"/>
    <s v="ASY"/>
    <n v="130"/>
    <n v="182"/>
    <n v="0"/>
    <s v="Normal"/>
    <n v="148"/>
    <x v="0"/>
    <n v="0"/>
    <s v="Up"/>
    <x v="0"/>
  </r>
  <r>
    <x v="20"/>
    <x v="0"/>
    <s v="ASY"/>
    <n v="115"/>
    <n v="0"/>
    <n v="0"/>
    <s v="Normal"/>
    <n v="93"/>
    <x v="1"/>
    <n v="0"/>
    <s v="Flat"/>
    <x v="1"/>
  </r>
  <r>
    <x v="19"/>
    <x v="0"/>
    <s v="TA"/>
    <n v="95"/>
    <n v="0"/>
    <n v="1"/>
    <s v="Normal"/>
    <n v="127"/>
    <x v="0"/>
    <n v="0.7"/>
    <s v="Up"/>
    <x v="1"/>
  </r>
  <r>
    <x v="33"/>
    <x v="0"/>
    <s v="ASY"/>
    <n v="105"/>
    <n v="0"/>
    <n v="1"/>
    <s v="Normal"/>
    <n v="110"/>
    <x v="1"/>
    <n v="1.5"/>
    <s v="Up"/>
    <x v="1"/>
  </r>
  <r>
    <x v="23"/>
    <x v="0"/>
    <s v="ASY"/>
    <n v="145"/>
    <n v="0"/>
    <n v="1"/>
    <s v="Normal"/>
    <n v="139"/>
    <x v="1"/>
    <n v="0.7"/>
    <s v="Flat"/>
    <x v="1"/>
  </r>
  <r>
    <x v="27"/>
    <x v="0"/>
    <s v="ASY"/>
    <n v="110"/>
    <n v="0"/>
    <n v="1"/>
    <s v="ST"/>
    <n v="131"/>
    <x v="1"/>
    <n v="1.4"/>
    <s v="Up"/>
    <x v="1"/>
  </r>
  <r>
    <x v="16"/>
    <x v="0"/>
    <s v="ASY"/>
    <n v="110"/>
    <n v="0"/>
    <n v="1"/>
    <s v="Normal"/>
    <n v="92"/>
    <x v="0"/>
    <n v="0"/>
    <s v="Flat"/>
    <x v="1"/>
  </r>
  <r>
    <x v="24"/>
    <x v="0"/>
    <s v="ASY"/>
    <n v="110"/>
    <n v="0"/>
    <n v="1"/>
    <s v="ST"/>
    <n v="149"/>
    <x v="0"/>
    <n v="2.1"/>
    <s v="Up"/>
    <x v="1"/>
  </r>
  <r>
    <x v="11"/>
    <x v="0"/>
    <s v="ASY"/>
    <n v="160"/>
    <n v="0"/>
    <n v="1"/>
    <s v="Normal"/>
    <n v="149"/>
    <x v="0"/>
    <n v="0.4"/>
    <s v="Flat"/>
    <x v="1"/>
  </r>
  <r>
    <x v="28"/>
    <x v="0"/>
    <s v="ATA"/>
    <n v="140"/>
    <n v="0"/>
    <n v="0"/>
    <s v="ST"/>
    <n v="150"/>
    <x v="0"/>
    <n v="0.2"/>
    <s v="Up"/>
    <x v="0"/>
  </r>
  <r>
    <x v="14"/>
    <x v="0"/>
    <s v="ASY"/>
    <n v="125"/>
    <n v="0"/>
    <n v="1"/>
    <s v="Normal"/>
    <n v="120"/>
    <x v="0"/>
    <n v="1.5"/>
    <s v="Up"/>
    <x v="1"/>
  </r>
  <r>
    <x v="35"/>
    <x v="1"/>
    <s v="ASY"/>
    <n v="120"/>
    <n v="0"/>
    <n v="1"/>
    <s v="ST"/>
    <n v="123"/>
    <x v="1"/>
    <n v="1.7"/>
    <s v="Down"/>
    <x v="1"/>
  </r>
  <r>
    <x v="16"/>
    <x v="0"/>
    <s v="ASY"/>
    <n v="95"/>
    <n v="0"/>
    <n v="1"/>
    <s v="Normal"/>
    <n v="126"/>
    <x v="0"/>
    <n v="2.2000000000000002"/>
    <s v="Flat"/>
    <x v="1"/>
  </r>
  <r>
    <x v="16"/>
    <x v="1"/>
    <s v="ASY"/>
    <n v="120"/>
    <n v="0"/>
    <n v="1"/>
    <s v="Normal"/>
    <n v="127"/>
    <x v="1"/>
    <n v="1.5"/>
    <s v="Up"/>
    <x v="1"/>
  </r>
  <r>
    <x v="28"/>
    <x v="0"/>
    <s v="ASY"/>
    <n v="115"/>
    <n v="0"/>
    <n v="1"/>
    <s v="Normal"/>
    <n v="155"/>
    <x v="0"/>
    <n v="0.1"/>
    <s v="Flat"/>
    <x v="1"/>
  </r>
  <r>
    <x v="14"/>
    <x v="0"/>
    <s v="ATA"/>
    <n v="130"/>
    <n v="0"/>
    <n v="0"/>
    <s v="ST"/>
    <n v="120"/>
    <x v="0"/>
    <n v="0.7"/>
    <s v="Down"/>
    <x v="0"/>
  </r>
  <r>
    <x v="7"/>
    <x v="0"/>
    <s v="ASY"/>
    <n v="115"/>
    <n v="0"/>
    <n v="1"/>
    <s v="Normal"/>
    <n v="138"/>
    <x v="0"/>
    <n v="0.5"/>
    <s v="Up"/>
    <x v="1"/>
  </r>
  <r>
    <x v="27"/>
    <x v="0"/>
    <s v="ASY"/>
    <n v="95"/>
    <n v="0"/>
    <n v="1"/>
    <s v="Normal"/>
    <n v="182"/>
    <x v="0"/>
    <n v="0.7"/>
    <s v="Down"/>
    <x v="1"/>
  </r>
  <r>
    <x v="20"/>
    <x v="0"/>
    <s v="ASY"/>
    <n v="155"/>
    <n v="0"/>
    <n v="0"/>
    <s v="Normal"/>
    <n v="154"/>
    <x v="0"/>
    <n v="1"/>
    <s v="Up"/>
    <x v="0"/>
  </r>
  <r>
    <x v="11"/>
    <x v="0"/>
    <s v="ASY"/>
    <n v="125"/>
    <n v="0"/>
    <n v="1"/>
    <s v="Normal"/>
    <n v="110"/>
    <x v="0"/>
    <n v="0.1"/>
    <s v="Up"/>
    <x v="1"/>
  </r>
  <r>
    <x v="18"/>
    <x v="0"/>
    <s v="ASY"/>
    <n v="125"/>
    <n v="0"/>
    <n v="1"/>
    <s v="Normal"/>
    <n v="176"/>
    <x v="0"/>
    <n v="1.6"/>
    <s v="Up"/>
    <x v="1"/>
  </r>
  <r>
    <x v="31"/>
    <x v="0"/>
    <s v="ASY"/>
    <n v="115"/>
    <n v="0"/>
    <n v="1"/>
    <s v="Normal"/>
    <n v="154"/>
    <x v="0"/>
    <n v="0.2"/>
    <s v="Up"/>
    <x v="1"/>
  </r>
  <r>
    <x v="14"/>
    <x v="0"/>
    <s v="ASY"/>
    <n v="80"/>
    <n v="0"/>
    <n v="0"/>
    <s v="Normal"/>
    <n v="141"/>
    <x v="1"/>
    <n v="2"/>
    <s v="Down"/>
    <x v="0"/>
  </r>
  <r>
    <x v="38"/>
    <x v="0"/>
    <s v="ATA"/>
    <n v="145"/>
    <n v="0"/>
    <n v="1"/>
    <s v="ST"/>
    <n v="123"/>
    <x v="0"/>
    <n v="1.3"/>
    <s v="Up"/>
    <x v="1"/>
  </r>
  <r>
    <x v="27"/>
    <x v="0"/>
    <s v="NAP"/>
    <n v="105"/>
    <n v="0"/>
    <n v="1"/>
    <s v="Normal"/>
    <n v="148"/>
    <x v="0"/>
    <n v="0.3"/>
    <s v="Flat"/>
    <x v="1"/>
  </r>
  <r>
    <x v="17"/>
    <x v="0"/>
    <s v="ASY"/>
    <n v="140"/>
    <n v="0"/>
    <n v="1"/>
    <s v="Normal"/>
    <n v="121"/>
    <x v="1"/>
    <n v="1.8"/>
    <s v="Up"/>
    <x v="1"/>
  </r>
  <r>
    <x v="33"/>
    <x v="0"/>
    <s v="ASY"/>
    <n v="130"/>
    <n v="0"/>
    <n v="1"/>
    <s v="Normal"/>
    <n v="77"/>
    <x v="0"/>
    <n v="2.5"/>
    <s v="Flat"/>
    <x v="1"/>
  </r>
  <r>
    <x v="39"/>
    <x v="0"/>
    <s v="ASY"/>
    <n v="145"/>
    <n v="0"/>
    <n v="1"/>
    <s v="Normal"/>
    <n v="136"/>
    <x v="0"/>
    <n v="1.8"/>
    <s v="Up"/>
    <x v="1"/>
  </r>
  <r>
    <x v="22"/>
    <x v="0"/>
    <s v="NAP"/>
    <n v="125"/>
    <n v="0"/>
    <n v="1"/>
    <s v="Normal"/>
    <n v="175"/>
    <x v="0"/>
    <n v="2.6"/>
    <s v="Flat"/>
    <x v="1"/>
  </r>
  <r>
    <x v="29"/>
    <x v="0"/>
    <s v="ASY"/>
    <n v="100"/>
    <n v="0"/>
    <n v="1"/>
    <s v="Normal"/>
    <n v="109"/>
    <x v="0"/>
    <n v="-0.9"/>
    <s v="Flat"/>
    <x v="1"/>
  </r>
  <r>
    <x v="9"/>
    <x v="1"/>
    <s v="ASY"/>
    <n v="105"/>
    <n v="0"/>
    <n v="1"/>
    <s v="Normal"/>
    <n v="166"/>
    <x v="0"/>
    <n v="2.8"/>
    <s v="Up"/>
    <x v="1"/>
  </r>
  <r>
    <x v="35"/>
    <x v="0"/>
    <s v="ASY"/>
    <n v="115"/>
    <n v="0"/>
    <n v="1"/>
    <s v="Normal"/>
    <n v="128"/>
    <x v="1"/>
    <n v="2.5"/>
    <s v="Down"/>
    <x v="1"/>
  </r>
  <r>
    <x v="26"/>
    <x v="0"/>
    <s v="ASY"/>
    <n v="100"/>
    <n v="0"/>
    <n v="1"/>
    <s v="ST"/>
    <n v="133"/>
    <x v="0"/>
    <n v="-2.6"/>
    <s v="Flat"/>
    <x v="1"/>
  </r>
  <r>
    <x v="8"/>
    <x v="0"/>
    <s v="ASY"/>
    <n v="105"/>
    <n v="0"/>
    <n v="1"/>
    <s v="Normal"/>
    <n v="128"/>
    <x v="1"/>
    <n v="-1.5"/>
    <s v="Down"/>
    <x v="1"/>
  </r>
  <r>
    <x v="6"/>
    <x v="0"/>
    <s v="NAP"/>
    <n v="110"/>
    <n v="0"/>
    <n v="0"/>
    <s v="Normal"/>
    <n v="138"/>
    <x v="0"/>
    <n v="-0.1"/>
    <s v="Up"/>
    <x v="0"/>
  </r>
  <r>
    <x v="22"/>
    <x v="0"/>
    <s v="ASY"/>
    <n v="125"/>
    <n v="0"/>
    <n v="1"/>
    <s v="Normal"/>
    <n v="119"/>
    <x v="1"/>
    <n v="0.9"/>
    <s v="Up"/>
    <x v="1"/>
  </r>
  <r>
    <x v="15"/>
    <x v="0"/>
    <s v="ASY"/>
    <n v="95"/>
    <n v="0"/>
    <n v="1"/>
    <s v="Normal"/>
    <n v="82"/>
    <x v="1"/>
    <n v="0.8"/>
    <s v="Flat"/>
    <x v="1"/>
  </r>
  <r>
    <x v="11"/>
    <x v="0"/>
    <s v="ASY"/>
    <n v="130"/>
    <n v="0"/>
    <n v="1"/>
    <s v="ST"/>
    <n v="130"/>
    <x v="1"/>
    <n v="1.1000000000000001"/>
    <s v="Down"/>
    <x v="1"/>
  </r>
  <r>
    <x v="11"/>
    <x v="0"/>
    <s v="NAP"/>
    <n v="115"/>
    <n v="0"/>
    <n v="1"/>
    <s v="Normal"/>
    <n v="143"/>
    <x v="0"/>
    <n v="2.4"/>
    <s v="Up"/>
    <x v="1"/>
  </r>
  <r>
    <x v="17"/>
    <x v="0"/>
    <s v="ASY"/>
    <n v="115"/>
    <n v="0"/>
    <n v="1"/>
    <s v="ST"/>
    <n v="82"/>
    <x v="0"/>
    <n v="-1"/>
    <s v="Up"/>
    <x v="1"/>
  </r>
  <r>
    <x v="9"/>
    <x v="0"/>
    <s v="NAP"/>
    <n v="100"/>
    <n v="0"/>
    <n v="0"/>
    <s v="Normal"/>
    <n v="179"/>
    <x v="0"/>
    <n v="-1.1000000000000001"/>
    <s v="Up"/>
    <x v="0"/>
  </r>
  <r>
    <x v="0"/>
    <x v="0"/>
    <s v="ASY"/>
    <n v="95"/>
    <n v="0"/>
    <n v="1"/>
    <s v="ST"/>
    <n v="144"/>
    <x v="0"/>
    <n v="0"/>
    <s v="Up"/>
    <x v="1"/>
  </r>
  <r>
    <x v="16"/>
    <x v="0"/>
    <s v="ASY"/>
    <n v="130"/>
    <n v="0"/>
    <n v="1"/>
    <s v="Normal"/>
    <n v="170"/>
    <x v="0"/>
    <n v="-0.7"/>
    <s v="Up"/>
    <x v="1"/>
  </r>
  <r>
    <x v="35"/>
    <x v="0"/>
    <s v="TA"/>
    <n v="120"/>
    <n v="0"/>
    <n v="1"/>
    <s v="LVH"/>
    <n v="134"/>
    <x v="0"/>
    <n v="-0.8"/>
    <s v="Flat"/>
    <x v="1"/>
  </r>
  <r>
    <x v="40"/>
    <x v="0"/>
    <s v="NAP"/>
    <n v="160"/>
    <n v="0"/>
    <n v="0"/>
    <s v="LVH"/>
    <n v="114"/>
    <x v="0"/>
    <n v="1.6"/>
    <s v="Flat"/>
    <x v="0"/>
  </r>
  <r>
    <x v="29"/>
    <x v="0"/>
    <s v="ASY"/>
    <n v="150"/>
    <n v="0"/>
    <n v="1"/>
    <s v="ST"/>
    <n v="154"/>
    <x v="0"/>
    <n v="3.7"/>
    <s v="Up"/>
    <x v="1"/>
  </r>
  <r>
    <x v="29"/>
    <x v="0"/>
    <s v="ASY"/>
    <n v="140"/>
    <n v="0"/>
    <n v="1"/>
    <s v="LVH"/>
    <n v="149"/>
    <x v="0"/>
    <n v="2"/>
    <s v="Up"/>
    <x v="1"/>
  </r>
  <r>
    <x v="41"/>
    <x v="1"/>
    <s v="ASY"/>
    <n v="95"/>
    <n v="0"/>
    <n v="1"/>
    <s v="Normal"/>
    <n v="145"/>
    <x v="0"/>
    <n v="1.1000000000000001"/>
    <s v="Down"/>
    <x v="1"/>
  </r>
  <r>
    <x v="10"/>
    <x v="0"/>
    <s v="ASY"/>
    <n v="100"/>
    <n v="0"/>
    <n v="1"/>
    <s v="Normal"/>
    <n v="122"/>
    <x v="0"/>
    <n v="1.5"/>
    <s v="Down"/>
    <x v="1"/>
  </r>
  <r>
    <x v="41"/>
    <x v="0"/>
    <s v="ASY"/>
    <n v="110"/>
    <n v="0"/>
    <n v="1"/>
    <s v="Normal"/>
    <n v="114"/>
    <x v="1"/>
    <n v="1.3"/>
    <s v="Down"/>
    <x v="1"/>
  </r>
  <r>
    <x v="33"/>
    <x v="0"/>
    <s v="ASY"/>
    <n v="110"/>
    <n v="0"/>
    <n v="1"/>
    <s v="Normal"/>
    <n v="113"/>
    <x v="0"/>
    <n v="1.4"/>
    <s v="Flat"/>
    <x v="1"/>
  </r>
  <r>
    <x v="15"/>
    <x v="0"/>
    <s v="ASY"/>
    <n v="130"/>
    <n v="0"/>
    <n v="1"/>
    <s v="Normal"/>
    <n v="120"/>
    <x v="0"/>
    <n v="0"/>
    <s v="Flat"/>
    <x v="1"/>
  </r>
  <r>
    <x v="16"/>
    <x v="0"/>
    <s v="ASY"/>
    <n v="120"/>
    <n v="0"/>
    <n v="1"/>
    <s v="Normal"/>
    <n v="104"/>
    <x v="0"/>
    <n v="0"/>
    <s v="Flat"/>
    <x v="1"/>
  </r>
  <r>
    <x v="42"/>
    <x v="0"/>
    <s v="ASY"/>
    <n v="135"/>
    <n v="0"/>
    <n v="0"/>
    <s v="Normal"/>
    <n v="130"/>
    <x v="0"/>
    <n v="0"/>
    <s v="Flat"/>
    <x v="1"/>
  </r>
  <r>
    <x v="22"/>
    <x v="0"/>
    <s v="ASY"/>
    <n v="120"/>
    <n v="0"/>
    <n v="0"/>
    <s v="Normal"/>
    <n v="115"/>
    <x v="0"/>
    <n v="0"/>
    <s v="Flat"/>
    <x v="1"/>
  </r>
  <r>
    <x v="3"/>
    <x v="0"/>
    <s v="ASY"/>
    <n v="115"/>
    <n v="0"/>
    <n v="1"/>
    <s v="Normal"/>
    <n v="128"/>
    <x v="0"/>
    <n v="0"/>
    <s v="Flat"/>
    <x v="1"/>
  </r>
  <r>
    <x v="42"/>
    <x v="0"/>
    <s v="ASY"/>
    <n v="137"/>
    <n v="0"/>
    <n v="0"/>
    <s v="ST"/>
    <n v="104"/>
    <x v="1"/>
    <n v="1.6"/>
    <s v="Flat"/>
    <x v="1"/>
  </r>
  <r>
    <x v="12"/>
    <x v="0"/>
    <s v="ASY"/>
    <n v="110"/>
    <n v="0"/>
    <n v="1"/>
    <s v="Normal"/>
    <n v="125"/>
    <x v="1"/>
    <n v="1"/>
    <s v="Flat"/>
    <x v="1"/>
  </r>
  <r>
    <x v="14"/>
    <x v="0"/>
    <s v="ASY"/>
    <n v="120"/>
    <n v="0"/>
    <n v="1"/>
    <s v="Normal"/>
    <n v="120"/>
    <x v="0"/>
    <n v="0"/>
    <s v="Flat"/>
    <x v="1"/>
  </r>
  <r>
    <x v="10"/>
    <x v="0"/>
    <s v="ASY"/>
    <n v="140"/>
    <n v="0"/>
    <n v="0"/>
    <s v="ST"/>
    <n v="140"/>
    <x v="1"/>
    <n v="0.5"/>
    <s v="Up"/>
    <x v="1"/>
  </r>
  <r>
    <x v="17"/>
    <x v="0"/>
    <s v="ASY"/>
    <n v="120"/>
    <n v="0"/>
    <n v="0"/>
    <s v="ST"/>
    <n v="100"/>
    <x v="1"/>
    <n v="-1"/>
    <s v="Down"/>
    <x v="1"/>
  </r>
  <r>
    <x v="7"/>
    <x v="0"/>
    <s v="ASY"/>
    <n v="130"/>
    <n v="0"/>
    <n v="0"/>
    <s v="ST"/>
    <n v="100"/>
    <x v="1"/>
    <n v="1"/>
    <s v="Flat"/>
    <x v="1"/>
  </r>
  <r>
    <x v="28"/>
    <x v="0"/>
    <s v="ASY"/>
    <n v="120"/>
    <n v="0"/>
    <n v="0"/>
    <s v="ST"/>
    <n v="92"/>
    <x v="0"/>
    <n v="0.3"/>
    <s v="Up"/>
    <x v="1"/>
  </r>
  <r>
    <x v="43"/>
    <x v="0"/>
    <s v="TA"/>
    <n v="145"/>
    <n v="0"/>
    <n v="0"/>
    <s v="LVH"/>
    <n v="125"/>
    <x v="0"/>
    <n v="0"/>
    <s v="Flat"/>
    <x v="1"/>
  </r>
  <r>
    <x v="26"/>
    <x v="0"/>
    <s v="ASY"/>
    <n v="115"/>
    <n v="0"/>
    <n v="0"/>
    <s v="Normal"/>
    <n v="113"/>
    <x v="1"/>
    <n v="1.5"/>
    <s v="Flat"/>
    <x v="1"/>
  </r>
  <r>
    <x v="14"/>
    <x v="0"/>
    <s v="ATA"/>
    <n v="120"/>
    <n v="0"/>
    <n v="0"/>
    <s v="Normal"/>
    <n v="95"/>
    <x v="0"/>
    <n v="0"/>
    <s v="Flat"/>
    <x v="1"/>
  </r>
  <r>
    <x v="9"/>
    <x v="0"/>
    <s v="NAP"/>
    <n v="115"/>
    <n v="0"/>
    <n v="0"/>
    <s v="Normal"/>
    <n v="128"/>
    <x v="1"/>
    <n v="0"/>
    <s v="Flat"/>
    <x v="1"/>
  </r>
  <r>
    <x v="14"/>
    <x v="0"/>
    <s v="NAP"/>
    <n v="105"/>
    <n v="0"/>
    <n v="0"/>
    <s v="Normal"/>
    <n v="115"/>
    <x v="0"/>
    <n v="0"/>
    <s v="Flat"/>
    <x v="1"/>
  </r>
  <r>
    <x v="35"/>
    <x v="0"/>
    <s v="NAP"/>
    <n v="160"/>
    <n v="0"/>
    <n v="0"/>
    <s v="Normal"/>
    <n v="72"/>
    <x v="1"/>
    <n v="0"/>
    <s v="Flat"/>
    <x v="1"/>
  </r>
  <r>
    <x v="24"/>
    <x v="0"/>
    <s v="ASY"/>
    <n v="160"/>
    <n v="0"/>
    <n v="0"/>
    <s v="Normal"/>
    <n v="124"/>
    <x v="1"/>
    <n v="0"/>
    <s v="Flat"/>
    <x v="1"/>
  </r>
  <r>
    <x v="17"/>
    <x v="0"/>
    <s v="NAP"/>
    <n v="155"/>
    <n v="0"/>
    <n v="0"/>
    <s v="ST"/>
    <n v="99"/>
    <x v="0"/>
    <n v="0"/>
    <s v="Flat"/>
    <x v="1"/>
  </r>
  <r>
    <x v="17"/>
    <x v="0"/>
    <s v="ASY"/>
    <n v="120"/>
    <n v="0"/>
    <n v="0"/>
    <s v="ST"/>
    <n v="148"/>
    <x v="0"/>
    <n v="0"/>
    <s v="Flat"/>
    <x v="1"/>
  </r>
  <r>
    <x v="17"/>
    <x v="0"/>
    <s v="NAP"/>
    <n v="120"/>
    <n v="0"/>
    <n v="0"/>
    <s v="Normal"/>
    <n v="97"/>
    <x v="0"/>
    <n v="0"/>
    <s v="Flat"/>
    <x v="0"/>
  </r>
  <r>
    <x v="41"/>
    <x v="1"/>
    <s v="ASY"/>
    <n v="200"/>
    <n v="0"/>
    <n v="0"/>
    <s v="Normal"/>
    <n v="140"/>
    <x v="1"/>
    <n v="1"/>
    <s v="Flat"/>
    <x v="1"/>
  </r>
  <r>
    <x v="33"/>
    <x v="0"/>
    <s v="ASY"/>
    <n v="150"/>
    <n v="0"/>
    <n v="0"/>
    <s v="Normal"/>
    <n v="117"/>
    <x v="1"/>
    <n v="2"/>
    <s v="Flat"/>
    <x v="1"/>
  </r>
  <r>
    <x v="39"/>
    <x v="0"/>
    <s v="ASY"/>
    <n v="135"/>
    <n v="0"/>
    <n v="0"/>
    <s v="ST"/>
    <n v="120"/>
    <x v="1"/>
    <n v="0"/>
    <s v="Up"/>
    <x v="1"/>
  </r>
  <r>
    <x v="27"/>
    <x v="0"/>
    <s v="ASY"/>
    <n v="140"/>
    <n v="0"/>
    <n v="0"/>
    <s v="Normal"/>
    <n v="120"/>
    <x v="1"/>
    <n v="2"/>
    <s v="Flat"/>
    <x v="1"/>
  </r>
  <r>
    <x v="29"/>
    <x v="0"/>
    <s v="ASY"/>
    <n v="150"/>
    <n v="0"/>
    <n v="0"/>
    <s v="Normal"/>
    <n v="86"/>
    <x v="1"/>
    <n v="2"/>
    <s v="Flat"/>
    <x v="1"/>
  </r>
  <r>
    <x v="11"/>
    <x v="0"/>
    <s v="ASY"/>
    <n v="135"/>
    <n v="0"/>
    <n v="0"/>
    <s v="Normal"/>
    <n v="63"/>
    <x v="1"/>
    <n v="0.5"/>
    <s v="Up"/>
    <x v="1"/>
  </r>
  <r>
    <x v="30"/>
    <x v="0"/>
    <s v="ASY"/>
    <n v="150"/>
    <n v="0"/>
    <n v="0"/>
    <s v="Normal"/>
    <n v="108"/>
    <x v="1"/>
    <n v="2"/>
    <s v="Flat"/>
    <x v="1"/>
  </r>
  <r>
    <x v="29"/>
    <x v="0"/>
    <s v="ASY"/>
    <n v="185"/>
    <n v="0"/>
    <n v="0"/>
    <s v="Normal"/>
    <n v="98"/>
    <x v="1"/>
    <n v="0"/>
    <s v="Up"/>
    <x v="1"/>
  </r>
  <r>
    <x v="22"/>
    <x v="0"/>
    <s v="ASY"/>
    <n v="135"/>
    <n v="0"/>
    <n v="0"/>
    <s v="Normal"/>
    <n v="115"/>
    <x v="1"/>
    <n v="1"/>
    <s v="Flat"/>
    <x v="1"/>
  </r>
  <r>
    <x v="33"/>
    <x v="0"/>
    <s v="ASY"/>
    <n v="125"/>
    <n v="0"/>
    <n v="0"/>
    <s v="Normal"/>
    <n v="105"/>
    <x v="1"/>
    <n v="0"/>
    <s v="Down"/>
    <x v="1"/>
  </r>
  <r>
    <x v="44"/>
    <x v="1"/>
    <s v="NAP"/>
    <n v="160"/>
    <n v="0"/>
    <n v="0"/>
    <s v="ST"/>
    <n v="121"/>
    <x v="0"/>
    <n v="0"/>
    <s v="Up"/>
    <x v="1"/>
  </r>
  <r>
    <x v="24"/>
    <x v="0"/>
    <s v="NAP"/>
    <n v="155"/>
    <n v="0"/>
    <n v="0"/>
    <s v="Normal"/>
    <n v="118"/>
    <x v="1"/>
    <n v="1"/>
    <s v="Flat"/>
    <x v="1"/>
  </r>
  <r>
    <x v="20"/>
    <x v="0"/>
    <s v="ASY"/>
    <n v="160"/>
    <n v="0"/>
    <n v="1"/>
    <s v="ST"/>
    <n v="122"/>
    <x v="0"/>
    <n v="1.2"/>
    <s v="Flat"/>
    <x v="1"/>
  </r>
  <r>
    <x v="45"/>
    <x v="0"/>
    <s v="ASY"/>
    <n v="140"/>
    <n v="0"/>
    <n v="1"/>
    <s v="Normal"/>
    <n v="157"/>
    <x v="1"/>
    <n v="2"/>
    <s v="Flat"/>
    <x v="1"/>
  </r>
  <r>
    <x v="23"/>
    <x v="0"/>
    <s v="ASY"/>
    <n v="120"/>
    <n v="0"/>
    <n v="0"/>
    <s v="ST"/>
    <n v="156"/>
    <x v="1"/>
    <n v="0"/>
    <s v="Up"/>
    <x v="1"/>
  </r>
  <r>
    <x v="11"/>
    <x v="0"/>
    <s v="ASY"/>
    <n v="160"/>
    <n v="0"/>
    <n v="0"/>
    <s v="ST"/>
    <n v="99"/>
    <x v="1"/>
    <n v="0.5"/>
    <s v="Flat"/>
    <x v="1"/>
  </r>
  <r>
    <x v="23"/>
    <x v="0"/>
    <s v="ASY"/>
    <n v="115"/>
    <n v="0"/>
    <n v="0"/>
    <s v="Normal"/>
    <n v="120"/>
    <x v="1"/>
    <n v="0.5"/>
    <s v="Flat"/>
    <x v="1"/>
  </r>
  <r>
    <x v="10"/>
    <x v="0"/>
    <s v="ASY"/>
    <n v="115"/>
    <n v="0"/>
    <n v="0"/>
    <s v="Normal"/>
    <n v="145"/>
    <x v="1"/>
    <n v="2"/>
    <s v="Flat"/>
    <x v="1"/>
  </r>
  <r>
    <x v="9"/>
    <x v="1"/>
    <s v="ASY"/>
    <n v="110"/>
    <n v="0"/>
    <n v="0"/>
    <s v="Normal"/>
    <n v="156"/>
    <x v="0"/>
    <n v="0"/>
    <s v="Flat"/>
    <x v="1"/>
  </r>
  <r>
    <x v="4"/>
    <x v="0"/>
    <s v="ASY"/>
    <n v="120"/>
    <n v="0"/>
    <n v="0"/>
    <s v="Normal"/>
    <n v="155"/>
    <x v="0"/>
    <n v="0"/>
    <s v="Flat"/>
    <x v="1"/>
  </r>
  <r>
    <x v="33"/>
    <x v="0"/>
    <s v="ASY"/>
    <n v="150"/>
    <n v="0"/>
    <n v="0"/>
    <s v="Normal"/>
    <n v="105"/>
    <x v="1"/>
    <n v="0"/>
    <s v="Flat"/>
    <x v="1"/>
  </r>
  <r>
    <x v="8"/>
    <x v="0"/>
    <s v="ASY"/>
    <n v="145"/>
    <n v="0"/>
    <n v="0"/>
    <s v="Normal"/>
    <n v="99"/>
    <x v="1"/>
    <n v="0"/>
    <s v="Flat"/>
    <x v="1"/>
  </r>
  <r>
    <x v="14"/>
    <x v="0"/>
    <s v="ASY"/>
    <n v="130"/>
    <n v="0"/>
    <n v="0"/>
    <s v="LVH"/>
    <n v="135"/>
    <x v="1"/>
    <n v="1"/>
    <s v="Flat"/>
    <x v="1"/>
  </r>
  <r>
    <x v="28"/>
    <x v="0"/>
    <s v="ASY"/>
    <n v="140"/>
    <n v="0"/>
    <n v="0"/>
    <s v="Normal"/>
    <n v="83"/>
    <x v="0"/>
    <n v="0"/>
    <s v="Flat"/>
    <x v="1"/>
  </r>
  <r>
    <x v="33"/>
    <x v="0"/>
    <s v="ASY"/>
    <n v="160"/>
    <n v="0"/>
    <n v="1"/>
    <s v="ST"/>
    <n v="145"/>
    <x v="0"/>
    <n v="1"/>
    <s v="Flat"/>
    <x v="1"/>
  </r>
  <r>
    <x v="16"/>
    <x v="0"/>
    <s v="ASY"/>
    <n v="140"/>
    <n v="0"/>
    <n v="0"/>
    <s v="Normal"/>
    <n v="60"/>
    <x v="0"/>
    <n v="0"/>
    <s v="Flat"/>
    <x v="1"/>
  </r>
  <r>
    <x v="45"/>
    <x v="0"/>
    <s v="ASY"/>
    <n v="115"/>
    <n v="0"/>
    <n v="0"/>
    <s v="ST"/>
    <n v="92"/>
    <x v="1"/>
    <n v="0"/>
    <s v="Flat"/>
    <x v="1"/>
  </r>
  <r>
    <x v="33"/>
    <x v="0"/>
    <s v="ASY"/>
    <n v="130"/>
    <n v="0"/>
    <n v="0"/>
    <s v="LVH"/>
    <n v="115"/>
    <x v="0"/>
    <n v="0"/>
    <s v="Flat"/>
    <x v="1"/>
  </r>
  <r>
    <x v="9"/>
    <x v="0"/>
    <s v="ASY"/>
    <n v="150"/>
    <n v="0"/>
    <n v="1"/>
    <s v="Normal"/>
    <n v="120"/>
    <x v="1"/>
    <n v="0.7"/>
    <s v="Flat"/>
    <x v="1"/>
  </r>
  <r>
    <x v="27"/>
    <x v="0"/>
    <s v="ASY"/>
    <n v="160"/>
    <n v="0"/>
    <n v="1"/>
    <s v="Normal"/>
    <n v="98"/>
    <x v="1"/>
    <n v="2"/>
    <s v="Flat"/>
    <x v="1"/>
  </r>
  <r>
    <x v="9"/>
    <x v="0"/>
    <s v="ASY"/>
    <n v="135"/>
    <n v="0"/>
    <n v="1"/>
    <s v="Normal"/>
    <n v="150"/>
    <x v="0"/>
    <n v="0"/>
    <s v="Flat"/>
    <x v="1"/>
  </r>
  <r>
    <x v="35"/>
    <x v="1"/>
    <s v="TA"/>
    <n v="140"/>
    <n v="0"/>
    <n v="1"/>
    <s v="Normal"/>
    <n v="143"/>
    <x v="0"/>
    <n v="0"/>
    <s v="Flat"/>
    <x v="1"/>
  </r>
  <r>
    <x v="7"/>
    <x v="0"/>
    <s v="ASY"/>
    <n v="170"/>
    <n v="0"/>
    <n v="1"/>
    <s v="ST"/>
    <n v="105"/>
    <x v="1"/>
    <n v="0"/>
    <s v="Flat"/>
    <x v="1"/>
  </r>
  <r>
    <x v="15"/>
    <x v="0"/>
    <s v="ASY"/>
    <n v="165"/>
    <n v="0"/>
    <n v="1"/>
    <s v="Normal"/>
    <n v="122"/>
    <x v="1"/>
    <n v="1"/>
    <s v="Up"/>
    <x v="1"/>
  </r>
  <r>
    <x v="33"/>
    <x v="0"/>
    <s v="NAP"/>
    <n v="200"/>
    <n v="0"/>
    <n v="1"/>
    <s v="ST"/>
    <n v="70"/>
    <x v="0"/>
    <n v="0"/>
    <s v="Flat"/>
    <x v="1"/>
  </r>
  <r>
    <x v="23"/>
    <x v="1"/>
    <s v="ASY"/>
    <n v="160"/>
    <n v="0"/>
    <n v="1"/>
    <s v="Normal"/>
    <n v="110"/>
    <x v="0"/>
    <n v="0"/>
    <s v="Flat"/>
    <x v="1"/>
  </r>
  <r>
    <x v="16"/>
    <x v="0"/>
    <s v="ASY"/>
    <n v="130"/>
    <n v="0"/>
    <n v="1"/>
    <s v="ST"/>
    <n v="163"/>
    <x v="0"/>
    <n v="0"/>
    <s v="Flat"/>
    <x v="1"/>
  </r>
  <r>
    <x v="20"/>
    <x v="0"/>
    <s v="ASY"/>
    <n v="145"/>
    <n v="0"/>
    <n v="1"/>
    <s v="ST"/>
    <n v="67"/>
    <x v="0"/>
    <n v="0.7"/>
    <s v="Flat"/>
    <x v="1"/>
  </r>
  <r>
    <x v="15"/>
    <x v="0"/>
    <s v="ASY"/>
    <n v="135"/>
    <n v="0"/>
    <n v="1"/>
    <s v="Normal"/>
    <n v="128"/>
    <x v="1"/>
    <n v="2"/>
    <s v="Flat"/>
    <x v="1"/>
  </r>
  <r>
    <x v="24"/>
    <x v="0"/>
    <s v="NAP"/>
    <n v="110"/>
    <n v="0"/>
    <n v="1"/>
    <s v="Normal"/>
    <n v="120"/>
    <x v="1"/>
    <n v="0"/>
    <s v="Flat"/>
    <x v="1"/>
  </r>
  <r>
    <x v="21"/>
    <x v="0"/>
    <s v="ASY"/>
    <n v="120"/>
    <n v="0"/>
    <n v="1"/>
    <s v="Normal"/>
    <n v="130"/>
    <x v="1"/>
    <n v="1.2"/>
    <s v="Flat"/>
    <x v="1"/>
  </r>
  <r>
    <x v="27"/>
    <x v="0"/>
    <s v="ASY"/>
    <n v="140"/>
    <n v="0"/>
    <n v="1"/>
    <s v="Normal"/>
    <n v="100"/>
    <x v="1"/>
    <n v="0"/>
    <s v="Flat"/>
    <x v="1"/>
  </r>
  <r>
    <x v="35"/>
    <x v="0"/>
    <s v="ASY"/>
    <n v="115"/>
    <n v="0"/>
    <n v="1"/>
    <s v="Normal"/>
    <n v="72"/>
    <x v="1"/>
    <n v="-0.5"/>
    <s v="Flat"/>
    <x v="1"/>
  </r>
  <r>
    <x v="22"/>
    <x v="0"/>
    <s v="ASY"/>
    <n v="110"/>
    <n v="0"/>
    <n v="1"/>
    <s v="Normal"/>
    <n v="94"/>
    <x v="0"/>
    <n v="0"/>
    <s v="Flat"/>
    <x v="1"/>
  </r>
  <r>
    <x v="14"/>
    <x v="0"/>
    <s v="NAP"/>
    <n v="160"/>
    <n v="0"/>
    <n v="1"/>
    <s v="LVH"/>
    <n v="122"/>
    <x v="1"/>
    <n v="0"/>
    <s v="Flat"/>
    <x v="1"/>
  </r>
  <r>
    <x v="35"/>
    <x v="0"/>
    <s v="ASY"/>
    <n v="150"/>
    <n v="0"/>
    <n v="1"/>
    <s v="ST"/>
    <n v="78"/>
    <x v="0"/>
    <n v="2"/>
    <s v="Flat"/>
    <x v="1"/>
  </r>
  <r>
    <x v="4"/>
    <x v="0"/>
    <s v="ASY"/>
    <n v="180"/>
    <n v="0"/>
    <n v="1"/>
    <s v="Normal"/>
    <n v="150"/>
    <x v="0"/>
    <n v="1.5"/>
    <s v="Flat"/>
    <x v="1"/>
  </r>
  <r>
    <x v="17"/>
    <x v="0"/>
    <s v="ASY"/>
    <n v="125"/>
    <n v="0"/>
    <n v="1"/>
    <s v="Normal"/>
    <n v="103"/>
    <x v="1"/>
    <n v="1"/>
    <s v="Flat"/>
    <x v="1"/>
  </r>
  <r>
    <x v="17"/>
    <x v="0"/>
    <s v="NAP"/>
    <n v="125"/>
    <n v="0"/>
    <n v="1"/>
    <s v="Normal"/>
    <n v="98"/>
    <x v="0"/>
    <n v="-2"/>
    <s v="Flat"/>
    <x v="1"/>
  </r>
  <r>
    <x v="4"/>
    <x v="0"/>
    <s v="ASY"/>
    <n v="130"/>
    <n v="0"/>
    <n v="1"/>
    <s v="Normal"/>
    <n v="110"/>
    <x v="1"/>
    <n v="3"/>
    <s v="Flat"/>
    <x v="1"/>
  </r>
  <r>
    <x v="30"/>
    <x v="1"/>
    <s v="ASY"/>
    <n v="155"/>
    <n v="0"/>
    <n v="1"/>
    <s v="Normal"/>
    <n v="90"/>
    <x v="0"/>
    <n v="0"/>
    <s v="Flat"/>
    <x v="1"/>
  </r>
  <r>
    <x v="29"/>
    <x v="0"/>
    <s v="ASY"/>
    <n v="140"/>
    <n v="260"/>
    <n v="0"/>
    <s v="ST"/>
    <n v="112"/>
    <x v="1"/>
    <n v="3"/>
    <s v="Flat"/>
    <x v="1"/>
  </r>
  <r>
    <x v="13"/>
    <x v="0"/>
    <s v="ASY"/>
    <n v="130"/>
    <n v="209"/>
    <n v="0"/>
    <s v="ST"/>
    <n v="127"/>
    <x v="0"/>
    <n v="0"/>
    <s v="Up"/>
    <x v="0"/>
  </r>
  <r>
    <x v="11"/>
    <x v="0"/>
    <s v="ASY"/>
    <n v="132"/>
    <n v="218"/>
    <n v="0"/>
    <s v="ST"/>
    <n v="140"/>
    <x v="1"/>
    <n v="1.5"/>
    <s v="Down"/>
    <x v="1"/>
  </r>
  <r>
    <x v="28"/>
    <x v="0"/>
    <s v="ASY"/>
    <n v="142"/>
    <n v="228"/>
    <n v="0"/>
    <s v="ST"/>
    <n v="149"/>
    <x v="1"/>
    <n v="2.5"/>
    <s v="Up"/>
    <x v="1"/>
  </r>
  <r>
    <x v="30"/>
    <x v="0"/>
    <s v="NAP"/>
    <n v="110"/>
    <n v="213"/>
    <n v="1"/>
    <s v="LVH"/>
    <n v="99"/>
    <x v="1"/>
    <n v="1.3"/>
    <s v="Flat"/>
    <x v="0"/>
  </r>
  <r>
    <x v="30"/>
    <x v="0"/>
    <s v="NAP"/>
    <n v="120"/>
    <n v="0"/>
    <n v="0"/>
    <s v="ST"/>
    <n v="120"/>
    <x v="0"/>
    <n v="-0.5"/>
    <s v="Up"/>
    <x v="0"/>
  </r>
  <r>
    <x v="20"/>
    <x v="0"/>
    <s v="ASY"/>
    <n v="150"/>
    <n v="236"/>
    <n v="1"/>
    <s v="ST"/>
    <n v="105"/>
    <x v="1"/>
    <n v="0"/>
    <s v="Flat"/>
    <x v="1"/>
  </r>
  <r>
    <x v="11"/>
    <x v="0"/>
    <s v="NAP"/>
    <n v="180"/>
    <n v="0"/>
    <n v="0"/>
    <s v="ST"/>
    <n v="140"/>
    <x v="1"/>
    <n v="1.5"/>
    <s v="Flat"/>
    <x v="0"/>
  </r>
  <r>
    <x v="11"/>
    <x v="0"/>
    <s v="NAP"/>
    <n v="120"/>
    <n v="0"/>
    <n v="1"/>
    <s v="Normal"/>
    <n v="141"/>
    <x v="1"/>
    <n v="2"/>
    <s v="Up"/>
    <x v="1"/>
  </r>
  <r>
    <x v="11"/>
    <x v="0"/>
    <s v="ATA"/>
    <n v="160"/>
    <n v="267"/>
    <n v="1"/>
    <s v="ST"/>
    <n v="157"/>
    <x v="0"/>
    <n v="0.5"/>
    <s v="Flat"/>
    <x v="1"/>
  </r>
  <r>
    <x v="17"/>
    <x v="0"/>
    <s v="ATA"/>
    <n v="126"/>
    <n v="166"/>
    <n v="0"/>
    <s v="ST"/>
    <n v="140"/>
    <x v="0"/>
    <n v="0"/>
    <s v="Up"/>
    <x v="0"/>
  </r>
  <r>
    <x v="22"/>
    <x v="0"/>
    <s v="ASY"/>
    <n v="140"/>
    <n v="0"/>
    <n v="0"/>
    <s v="ST"/>
    <n v="117"/>
    <x v="1"/>
    <n v="1"/>
    <s v="Flat"/>
    <x v="1"/>
  </r>
  <r>
    <x v="35"/>
    <x v="0"/>
    <s v="ASY"/>
    <n v="110"/>
    <n v="0"/>
    <n v="0"/>
    <s v="Normal"/>
    <n v="120"/>
    <x v="1"/>
    <n v="0.5"/>
    <s v="Flat"/>
    <x v="1"/>
  </r>
  <r>
    <x v="29"/>
    <x v="0"/>
    <s v="NAP"/>
    <n v="133"/>
    <n v="0"/>
    <n v="0"/>
    <s v="LVH"/>
    <n v="120"/>
    <x v="1"/>
    <n v="1"/>
    <s v="Flat"/>
    <x v="1"/>
  </r>
  <r>
    <x v="27"/>
    <x v="0"/>
    <s v="ASY"/>
    <n v="128"/>
    <n v="0"/>
    <n v="1"/>
    <s v="ST"/>
    <n v="148"/>
    <x v="1"/>
    <n v="1"/>
    <s v="Flat"/>
    <x v="1"/>
  </r>
  <r>
    <x v="35"/>
    <x v="0"/>
    <s v="ASY"/>
    <n v="120"/>
    <n v="220"/>
    <n v="0"/>
    <s v="ST"/>
    <n v="86"/>
    <x v="0"/>
    <n v="0"/>
    <s v="Up"/>
    <x v="0"/>
  </r>
  <r>
    <x v="29"/>
    <x v="0"/>
    <s v="ASY"/>
    <n v="170"/>
    <n v="177"/>
    <n v="0"/>
    <s v="Normal"/>
    <n v="84"/>
    <x v="1"/>
    <n v="2.5"/>
    <s v="Down"/>
    <x v="1"/>
  </r>
  <r>
    <x v="26"/>
    <x v="0"/>
    <s v="ASY"/>
    <n v="110"/>
    <n v="236"/>
    <n v="0"/>
    <s v="Normal"/>
    <n v="125"/>
    <x v="1"/>
    <n v="2"/>
    <s v="Flat"/>
    <x v="1"/>
  </r>
  <r>
    <x v="29"/>
    <x v="0"/>
    <s v="ASY"/>
    <n v="126"/>
    <n v="0"/>
    <n v="0"/>
    <s v="ST"/>
    <n v="120"/>
    <x v="0"/>
    <n v="1.5"/>
    <s v="Down"/>
    <x v="0"/>
  </r>
  <r>
    <x v="11"/>
    <x v="0"/>
    <s v="ASY"/>
    <n v="152"/>
    <n v="0"/>
    <n v="0"/>
    <s v="ST"/>
    <n v="118"/>
    <x v="1"/>
    <n v="0"/>
    <s v="Up"/>
    <x v="0"/>
  </r>
  <r>
    <x v="7"/>
    <x v="0"/>
    <s v="ASY"/>
    <n v="116"/>
    <n v="0"/>
    <n v="0"/>
    <s v="Normal"/>
    <n v="124"/>
    <x v="0"/>
    <n v="1"/>
    <s v="Up"/>
    <x v="1"/>
  </r>
  <r>
    <x v="41"/>
    <x v="0"/>
    <s v="ASY"/>
    <n v="120"/>
    <n v="0"/>
    <n v="1"/>
    <s v="ST"/>
    <n v="106"/>
    <x v="0"/>
    <n v="2"/>
    <s v="Flat"/>
    <x v="1"/>
  </r>
  <r>
    <x v="29"/>
    <x v="0"/>
    <s v="NAP"/>
    <n v="130"/>
    <n v="0"/>
    <n v="0"/>
    <s v="ST"/>
    <n v="111"/>
    <x v="1"/>
    <n v="0"/>
    <s v="Flat"/>
    <x v="1"/>
  </r>
  <r>
    <x v="38"/>
    <x v="0"/>
    <s v="NAP"/>
    <n v="138"/>
    <n v="0"/>
    <n v="0"/>
    <s v="Normal"/>
    <n v="116"/>
    <x v="0"/>
    <n v="0.2"/>
    <s v="Up"/>
    <x v="0"/>
  </r>
  <r>
    <x v="15"/>
    <x v="0"/>
    <s v="NAP"/>
    <n v="128"/>
    <n v="0"/>
    <n v="0"/>
    <s v="ST"/>
    <n v="180"/>
    <x v="0"/>
    <n v="3"/>
    <s v="Up"/>
    <x v="1"/>
  </r>
  <r>
    <x v="42"/>
    <x v="0"/>
    <s v="ASY"/>
    <n v="130"/>
    <n v="0"/>
    <n v="1"/>
    <s v="ST"/>
    <n v="129"/>
    <x v="0"/>
    <n v="1"/>
    <s v="Flat"/>
    <x v="1"/>
  </r>
  <r>
    <x v="16"/>
    <x v="0"/>
    <s v="ASY"/>
    <n v="128"/>
    <n v="0"/>
    <n v="1"/>
    <s v="ST"/>
    <n v="125"/>
    <x v="1"/>
    <n v="1.2"/>
    <s v="Flat"/>
    <x v="1"/>
  </r>
  <r>
    <x v="11"/>
    <x v="0"/>
    <s v="ASY"/>
    <n v="130"/>
    <n v="186"/>
    <n v="1"/>
    <s v="ST"/>
    <n v="140"/>
    <x v="1"/>
    <n v="0.5"/>
    <s v="Flat"/>
    <x v="1"/>
  </r>
  <r>
    <x v="17"/>
    <x v="0"/>
    <s v="ASY"/>
    <n v="120"/>
    <n v="100"/>
    <n v="0"/>
    <s v="Normal"/>
    <n v="120"/>
    <x v="1"/>
    <n v="1.5"/>
    <s v="Flat"/>
    <x v="1"/>
  </r>
  <r>
    <x v="28"/>
    <x v="0"/>
    <s v="NAP"/>
    <n v="136"/>
    <n v="228"/>
    <n v="0"/>
    <s v="ST"/>
    <n v="124"/>
    <x v="1"/>
    <n v="1.6"/>
    <s v="Flat"/>
    <x v="1"/>
  </r>
  <r>
    <x v="4"/>
    <x v="0"/>
    <s v="ASY"/>
    <n v="130"/>
    <n v="0"/>
    <n v="0"/>
    <s v="ST"/>
    <n v="117"/>
    <x v="1"/>
    <n v="1.4"/>
    <s v="Flat"/>
    <x v="1"/>
  </r>
  <r>
    <x v="46"/>
    <x v="0"/>
    <s v="ASY"/>
    <n v="124"/>
    <n v="171"/>
    <n v="0"/>
    <s v="ST"/>
    <n v="110"/>
    <x v="1"/>
    <n v="2"/>
    <s v="Up"/>
    <x v="1"/>
  </r>
  <r>
    <x v="29"/>
    <x v="0"/>
    <s v="ASY"/>
    <n v="160"/>
    <n v="230"/>
    <n v="1"/>
    <s v="Normal"/>
    <n v="105"/>
    <x v="1"/>
    <n v="1"/>
    <s v="Flat"/>
    <x v="1"/>
  </r>
  <r>
    <x v="28"/>
    <x v="0"/>
    <s v="NAP"/>
    <n v="0"/>
    <n v="0"/>
    <n v="0"/>
    <s v="Normal"/>
    <n v="155"/>
    <x v="0"/>
    <n v="1.5"/>
    <s v="Flat"/>
    <x v="1"/>
  </r>
  <r>
    <x v="15"/>
    <x v="0"/>
    <s v="NAP"/>
    <n v="122"/>
    <n v="0"/>
    <n v="0"/>
    <s v="Normal"/>
    <n v="110"/>
    <x v="1"/>
    <n v="2"/>
    <s v="Down"/>
    <x v="1"/>
  </r>
  <r>
    <x v="41"/>
    <x v="0"/>
    <s v="ASY"/>
    <n v="144"/>
    <n v="0"/>
    <n v="0"/>
    <s v="ST"/>
    <n v="122"/>
    <x v="1"/>
    <n v="1"/>
    <s v="Flat"/>
    <x v="1"/>
  </r>
  <r>
    <x v="11"/>
    <x v="0"/>
    <s v="ASY"/>
    <n v="140"/>
    <n v="281"/>
    <n v="0"/>
    <s v="ST"/>
    <n v="118"/>
    <x v="1"/>
    <n v="1.5"/>
    <s v="Flat"/>
    <x v="1"/>
  </r>
  <r>
    <x v="11"/>
    <x v="0"/>
    <s v="ASY"/>
    <n v="120"/>
    <n v="0"/>
    <n v="0"/>
    <s v="Normal"/>
    <n v="133"/>
    <x v="1"/>
    <n v="2"/>
    <s v="Up"/>
    <x v="0"/>
  </r>
  <r>
    <x v="7"/>
    <x v="0"/>
    <s v="ASY"/>
    <n v="136"/>
    <n v="203"/>
    <n v="1"/>
    <s v="Normal"/>
    <n v="123"/>
    <x v="1"/>
    <n v="1.2"/>
    <s v="Flat"/>
    <x v="1"/>
  </r>
  <r>
    <x v="22"/>
    <x v="0"/>
    <s v="ASY"/>
    <n v="154"/>
    <n v="0"/>
    <n v="0"/>
    <s v="ST"/>
    <n v="131"/>
    <x v="1"/>
    <n v="1.5"/>
    <s v="Up"/>
    <x v="0"/>
  </r>
  <r>
    <x v="33"/>
    <x v="0"/>
    <s v="NAP"/>
    <n v="120"/>
    <n v="0"/>
    <n v="0"/>
    <s v="Normal"/>
    <n v="80"/>
    <x v="1"/>
    <n v="0"/>
    <s v="Flat"/>
    <x v="1"/>
  </r>
  <r>
    <x v="0"/>
    <x v="0"/>
    <s v="ASY"/>
    <n v="125"/>
    <n v="0"/>
    <n v="1"/>
    <s v="Normal"/>
    <n v="165"/>
    <x v="0"/>
    <n v="0"/>
    <s v="Flat"/>
    <x v="1"/>
  </r>
  <r>
    <x v="33"/>
    <x v="0"/>
    <s v="ASY"/>
    <n v="134"/>
    <n v="0"/>
    <n v="1"/>
    <s v="ST"/>
    <n v="86"/>
    <x v="0"/>
    <n v="1.5"/>
    <s v="Flat"/>
    <x v="1"/>
  </r>
  <r>
    <x v="18"/>
    <x v="0"/>
    <s v="ASY"/>
    <n v="104"/>
    <n v="0"/>
    <n v="0"/>
    <s v="ST"/>
    <n v="111"/>
    <x v="0"/>
    <n v="0"/>
    <s v="Up"/>
    <x v="0"/>
  </r>
  <r>
    <x v="27"/>
    <x v="0"/>
    <s v="ASY"/>
    <n v="139"/>
    <n v="277"/>
    <n v="1"/>
    <s v="ST"/>
    <n v="118"/>
    <x v="1"/>
    <n v="1.9"/>
    <s v="Flat"/>
    <x v="1"/>
  </r>
  <r>
    <x v="29"/>
    <x v="0"/>
    <s v="ASY"/>
    <n v="136"/>
    <n v="0"/>
    <n v="0"/>
    <s v="Normal"/>
    <n v="84"/>
    <x v="1"/>
    <n v="0"/>
    <s v="Flat"/>
    <x v="1"/>
  </r>
  <r>
    <x v="22"/>
    <x v="0"/>
    <s v="ASY"/>
    <n v="122"/>
    <n v="233"/>
    <n v="0"/>
    <s v="Normal"/>
    <n v="117"/>
    <x v="1"/>
    <n v="1.3"/>
    <s v="Down"/>
    <x v="1"/>
  </r>
  <r>
    <x v="16"/>
    <x v="0"/>
    <s v="ASY"/>
    <n v="128"/>
    <n v="0"/>
    <n v="0"/>
    <s v="Normal"/>
    <n v="107"/>
    <x v="0"/>
    <n v="0"/>
    <s v="Up"/>
    <x v="0"/>
  </r>
  <r>
    <x v="22"/>
    <x v="0"/>
    <s v="NAP"/>
    <n v="131"/>
    <n v="0"/>
    <n v="0"/>
    <s v="Normal"/>
    <n v="128"/>
    <x v="1"/>
    <n v="2"/>
    <s v="Down"/>
    <x v="1"/>
  </r>
  <r>
    <x v="8"/>
    <x v="0"/>
    <s v="NAP"/>
    <n v="134"/>
    <n v="240"/>
    <n v="0"/>
    <s v="Normal"/>
    <n v="160"/>
    <x v="0"/>
    <n v="0"/>
    <s v="Up"/>
    <x v="0"/>
  </r>
  <r>
    <x v="28"/>
    <x v="0"/>
    <s v="NAP"/>
    <n v="120"/>
    <n v="0"/>
    <n v="0"/>
    <s v="ST"/>
    <n v="125"/>
    <x v="1"/>
    <n v="2.5"/>
    <s v="Flat"/>
    <x v="1"/>
  </r>
  <r>
    <x v="29"/>
    <x v="1"/>
    <s v="ATA"/>
    <n v="132"/>
    <n v="0"/>
    <n v="0"/>
    <s v="Normal"/>
    <n v="130"/>
    <x v="0"/>
    <n v="0.1"/>
    <s v="Up"/>
    <x v="0"/>
  </r>
  <r>
    <x v="35"/>
    <x v="0"/>
    <s v="ASY"/>
    <n v="152"/>
    <n v="153"/>
    <n v="0"/>
    <s v="ST"/>
    <n v="97"/>
    <x v="1"/>
    <n v="1.6"/>
    <s v="Up"/>
    <x v="1"/>
  </r>
  <r>
    <x v="17"/>
    <x v="0"/>
    <s v="ATA"/>
    <n v="124"/>
    <n v="224"/>
    <n v="1"/>
    <s v="Normal"/>
    <n v="161"/>
    <x v="0"/>
    <n v="2"/>
    <s v="Flat"/>
    <x v="0"/>
  </r>
  <r>
    <x v="14"/>
    <x v="0"/>
    <s v="ASY"/>
    <n v="126"/>
    <n v="0"/>
    <n v="0"/>
    <s v="Normal"/>
    <n v="106"/>
    <x v="0"/>
    <n v="0"/>
    <s v="Flat"/>
    <x v="1"/>
  </r>
  <r>
    <x v="39"/>
    <x v="0"/>
    <s v="ASY"/>
    <n v="138"/>
    <n v="0"/>
    <n v="0"/>
    <s v="Normal"/>
    <n v="130"/>
    <x v="1"/>
    <n v="3"/>
    <s v="Flat"/>
    <x v="1"/>
  </r>
  <r>
    <x v="14"/>
    <x v="0"/>
    <s v="ASY"/>
    <n v="154"/>
    <n v="0"/>
    <n v="1"/>
    <s v="ST"/>
    <n v="140"/>
    <x v="1"/>
    <n v="1.5"/>
    <s v="Flat"/>
    <x v="1"/>
  </r>
  <r>
    <x v="11"/>
    <x v="0"/>
    <s v="NAP"/>
    <n v="141"/>
    <n v="316"/>
    <n v="1"/>
    <s v="ST"/>
    <n v="122"/>
    <x v="1"/>
    <n v="1.7"/>
    <s v="Flat"/>
    <x v="1"/>
  </r>
  <r>
    <x v="35"/>
    <x v="0"/>
    <s v="ATA"/>
    <n v="131"/>
    <n v="0"/>
    <n v="0"/>
    <s v="Normal"/>
    <n v="130"/>
    <x v="0"/>
    <n v="0.1"/>
    <s v="Up"/>
    <x v="0"/>
  </r>
  <r>
    <x v="22"/>
    <x v="0"/>
    <s v="ASY"/>
    <n v="178"/>
    <n v="0"/>
    <n v="1"/>
    <s v="LVH"/>
    <n v="120"/>
    <x v="1"/>
    <n v="0"/>
    <s v="Flat"/>
    <x v="1"/>
  </r>
  <r>
    <x v="16"/>
    <x v="0"/>
    <s v="ASY"/>
    <n v="132"/>
    <n v="218"/>
    <n v="1"/>
    <s v="LVH"/>
    <n v="139"/>
    <x v="0"/>
    <n v="0.1"/>
    <s v="Up"/>
    <x v="0"/>
  </r>
  <r>
    <x v="33"/>
    <x v="0"/>
    <s v="ASY"/>
    <n v="110"/>
    <n v="0"/>
    <n v="1"/>
    <s v="Normal"/>
    <n v="108"/>
    <x v="1"/>
    <n v="2"/>
    <s v="Down"/>
    <x v="1"/>
  </r>
  <r>
    <x v="27"/>
    <x v="0"/>
    <s v="ASY"/>
    <n v="130"/>
    <n v="311"/>
    <n v="1"/>
    <s v="ST"/>
    <n v="148"/>
    <x v="1"/>
    <n v="2"/>
    <s v="Flat"/>
    <x v="1"/>
  </r>
  <r>
    <x v="17"/>
    <x v="0"/>
    <s v="NAP"/>
    <n v="170"/>
    <n v="0"/>
    <n v="0"/>
    <s v="LVH"/>
    <n v="123"/>
    <x v="1"/>
    <n v="2.5"/>
    <s v="Flat"/>
    <x v="1"/>
  </r>
  <r>
    <x v="7"/>
    <x v="0"/>
    <s v="ATA"/>
    <n v="126"/>
    <n v="0"/>
    <n v="1"/>
    <s v="Normal"/>
    <n v="110"/>
    <x v="1"/>
    <n v="2"/>
    <s v="Flat"/>
    <x v="1"/>
  </r>
  <r>
    <x v="42"/>
    <x v="0"/>
    <s v="NAP"/>
    <n v="140"/>
    <n v="0"/>
    <n v="1"/>
    <s v="ST"/>
    <n v="118"/>
    <x v="0"/>
    <n v="2.5"/>
    <s v="Down"/>
    <x v="1"/>
  </r>
  <r>
    <x v="43"/>
    <x v="0"/>
    <s v="TA"/>
    <n v="142"/>
    <n v="270"/>
    <n v="1"/>
    <s v="Normal"/>
    <n v="125"/>
    <x v="0"/>
    <n v="2.5"/>
    <s v="Up"/>
    <x v="1"/>
  </r>
  <r>
    <x v="7"/>
    <x v="0"/>
    <s v="ASY"/>
    <n v="120"/>
    <n v="0"/>
    <n v="0"/>
    <s v="LVH"/>
    <n v="106"/>
    <x v="1"/>
    <n v="1.5"/>
    <s v="Down"/>
    <x v="1"/>
  </r>
  <r>
    <x v="20"/>
    <x v="0"/>
    <s v="ASY"/>
    <n v="134"/>
    <n v="0"/>
    <n v="0"/>
    <s v="Normal"/>
    <n v="112"/>
    <x v="1"/>
    <n v="1.1000000000000001"/>
    <s v="Flat"/>
    <x v="1"/>
  </r>
  <r>
    <x v="29"/>
    <x v="0"/>
    <s v="ATA"/>
    <n v="139"/>
    <n v="217"/>
    <n v="1"/>
    <s v="ST"/>
    <n v="128"/>
    <x v="1"/>
    <n v="1.2"/>
    <s v="Flat"/>
    <x v="1"/>
  </r>
  <r>
    <x v="28"/>
    <x v="0"/>
    <s v="ATA"/>
    <n v="110"/>
    <n v="214"/>
    <n v="1"/>
    <s v="ST"/>
    <n v="180"/>
    <x v="0"/>
    <n v="0.4"/>
    <s v="Up"/>
    <x v="0"/>
  </r>
  <r>
    <x v="27"/>
    <x v="0"/>
    <s v="ASY"/>
    <n v="140"/>
    <n v="214"/>
    <n v="0"/>
    <s v="ST"/>
    <n v="144"/>
    <x v="1"/>
    <n v="2"/>
    <s v="Flat"/>
    <x v="1"/>
  </r>
  <r>
    <x v="20"/>
    <x v="0"/>
    <s v="TA"/>
    <n v="140"/>
    <n v="252"/>
    <n v="0"/>
    <s v="Normal"/>
    <n v="135"/>
    <x v="0"/>
    <n v="0.3"/>
    <s v="Up"/>
    <x v="0"/>
  </r>
  <r>
    <x v="4"/>
    <x v="0"/>
    <s v="ASY"/>
    <n v="136"/>
    <n v="220"/>
    <n v="0"/>
    <s v="Normal"/>
    <n v="140"/>
    <x v="1"/>
    <n v="3"/>
    <s v="Flat"/>
    <x v="1"/>
  </r>
  <r>
    <x v="40"/>
    <x v="0"/>
    <s v="NAP"/>
    <n v="120"/>
    <n v="214"/>
    <n v="0"/>
    <s v="Normal"/>
    <n v="102"/>
    <x v="1"/>
    <n v="1"/>
    <s v="Flat"/>
    <x v="1"/>
  </r>
  <r>
    <x v="47"/>
    <x v="0"/>
    <s v="ASY"/>
    <n v="170"/>
    <n v="203"/>
    <n v="1"/>
    <s v="ST"/>
    <n v="108"/>
    <x v="0"/>
    <n v="0"/>
    <s v="Flat"/>
    <x v="1"/>
  </r>
  <r>
    <x v="1"/>
    <x v="0"/>
    <s v="TA"/>
    <n v="130"/>
    <n v="0"/>
    <n v="0"/>
    <s v="ST"/>
    <n v="145"/>
    <x v="0"/>
    <n v="3"/>
    <s v="Flat"/>
    <x v="1"/>
  </r>
  <r>
    <x v="16"/>
    <x v="0"/>
    <s v="NAP"/>
    <n v="137"/>
    <n v="339"/>
    <n v="0"/>
    <s v="Normal"/>
    <n v="127"/>
    <x v="1"/>
    <n v="1.7"/>
    <s v="Flat"/>
    <x v="1"/>
  </r>
  <r>
    <x v="11"/>
    <x v="0"/>
    <s v="ASY"/>
    <n v="142"/>
    <n v="216"/>
    <n v="0"/>
    <s v="Normal"/>
    <n v="110"/>
    <x v="1"/>
    <n v="2.5"/>
    <s v="Flat"/>
    <x v="1"/>
  </r>
  <r>
    <x v="41"/>
    <x v="1"/>
    <s v="ASY"/>
    <n v="142"/>
    <n v="276"/>
    <n v="0"/>
    <s v="Normal"/>
    <n v="140"/>
    <x v="1"/>
    <n v="1"/>
    <s v="Flat"/>
    <x v="1"/>
  </r>
  <r>
    <x v="7"/>
    <x v="0"/>
    <s v="ASY"/>
    <n v="132"/>
    <n v="458"/>
    <n v="1"/>
    <s v="Normal"/>
    <n v="69"/>
    <x v="0"/>
    <n v="1"/>
    <s v="Down"/>
    <x v="0"/>
  </r>
  <r>
    <x v="33"/>
    <x v="0"/>
    <s v="ASY"/>
    <n v="146"/>
    <n v="241"/>
    <n v="0"/>
    <s v="Normal"/>
    <n v="148"/>
    <x v="1"/>
    <n v="3"/>
    <s v="Down"/>
    <x v="1"/>
  </r>
  <r>
    <x v="43"/>
    <x v="0"/>
    <s v="ASY"/>
    <n v="160"/>
    <n v="384"/>
    <n v="1"/>
    <s v="ST"/>
    <n v="130"/>
    <x v="1"/>
    <n v="0"/>
    <s v="Flat"/>
    <x v="1"/>
  </r>
  <r>
    <x v="35"/>
    <x v="0"/>
    <s v="ASY"/>
    <n v="135"/>
    <n v="297"/>
    <n v="0"/>
    <s v="Normal"/>
    <n v="130"/>
    <x v="1"/>
    <n v="1"/>
    <s v="Flat"/>
    <x v="1"/>
  </r>
  <r>
    <x v="20"/>
    <x v="0"/>
    <s v="ASY"/>
    <n v="136"/>
    <n v="248"/>
    <n v="0"/>
    <s v="Normal"/>
    <n v="140"/>
    <x v="1"/>
    <n v="4"/>
    <s v="Down"/>
    <x v="1"/>
  </r>
  <r>
    <x v="29"/>
    <x v="0"/>
    <s v="ASY"/>
    <n v="130"/>
    <n v="308"/>
    <n v="0"/>
    <s v="Normal"/>
    <n v="138"/>
    <x v="1"/>
    <n v="2"/>
    <s v="Flat"/>
    <x v="1"/>
  </r>
  <r>
    <x v="42"/>
    <x v="0"/>
    <s v="ASY"/>
    <n v="140"/>
    <n v="208"/>
    <n v="0"/>
    <s v="ST"/>
    <n v="140"/>
    <x v="1"/>
    <n v="2"/>
    <s v="Flat"/>
    <x v="1"/>
  </r>
  <r>
    <x v="16"/>
    <x v="0"/>
    <s v="ASY"/>
    <n v="132"/>
    <n v="227"/>
    <n v="1"/>
    <s v="ST"/>
    <n v="138"/>
    <x v="0"/>
    <n v="0.2"/>
    <s v="Up"/>
    <x v="0"/>
  </r>
  <r>
    <x v="35"/>
    <x v="0"/>
    <s v="ASY"/>
    <n v="158"/>
    <n v="210"/>
    <n v="1"/>
    <s v="Normal"/>
    <n v="112"/>
    <x v="1"/>
    <n v="3"/>
    <s v="Down"/>
    <x v="1"/>
  </r>
  <r>
    <x v="28"/>
    <x v="0"/>
    <s v="NAP"/>
    <n v="136"/>
    <n v="245"/>
    <n v="1"/>
    <s v="ST"/>
    <n v="131"/>
    <x v="1"/>
    <n v="1.2"/>
    <s v="Flat"/>
    <x v="1"/>
  </r>
  <r>
    <x v="47"/>
    <x v="0"/>
    <s v="ASY"/>
    <n v="136"/>
    <n v="225"/>
    <n v="0"/>
    <s v="Normal"/>
    <n v="112"/>
    <x v="1"/>
    <n v="3"/>
    <s v="Flat"/>
    <x v="1"/>
  </r>
  <r>
    <x v="0"/>
    <x v="0"/>
    <s v="NAP"/>
    <n v="106"/>
    <n v="240"/>
    <n v="0"/>
    <s v="Normal"/>
    <n v="80"/>
    <x v="1"/>
    <n v="0"/>
    <s v="Up"/>
    <x v="0"/>
  </r>
  <r>
    <x v="43"/>
    <x v="0"/>
    <s v="ASY"/>
    <n v="120"/>
    <n v="0"/>
    <n v="1"/>
    <s v="Normal"/>
    <n v="150"/>
    <x v="0"/>
    <n v="1.5"/>
    <s v="Down"/>
    <x v="1"/>
  </r>
  <r>
    <x v="7"/>
    <x v="0"/>
    <s v="ASY"/>
    <n v="110"/>
    <n v="198"/>
    <n v="0"/>
    <s v="Normal"/>
    <n v="110"/>
    <x v="0"/>
    <n v="0"/>
    <s v="Flat"/>
    <x v="1"/>
  </r>
  <r>
    <x v="11"/>
    <x v="0"/>
    <s v="ASY"/>
    <n v="136"/>
    <n v="195"/>
    <n v="0"/>
    <s v="Normal"/>
    <n v="126"/>
    <x v="0"/>
    <n v="0.3"/>
    <s v="Up"/>
    <x v="0"/>
  </r>
  <r>
    <x v="29"/>
    <x v="0"/>
    <s v="ASY"/>
    <n v="160"/>
    <n v="267"/>
    <n v="1"/>
    <s v="ST"/>
    <n v="88"/>
    <x v="1"/>
    <n v="2"/>
    <s v="Flat"/>
    <x v="1"/>
  </r>
  <r>
    <x v="21"/>
    <x v="0"/>
    <s v="NAP"/>
    <n v="123"/>
    <n v="161"/>
    <n v="0"/>
    <s v="ST"/>
    <n v="153"/>
    <x v="0"/>
    <n v="-0.1"/>
    <s v="Up"/>
    <x v="0"/>
  </r>
  <r>
    <x v="35"/>
    <x v="0"/>
    <s v="TA"/>
    <n v="112"/>
    <n v="258"/>
    <n v="0"/>
    <s v="ST"/>
    <n v="150"/>
    <x v="1"/>
    <n v="1.3"/>
    <s v="Flat"/>
    <x v="1"/>
  </r>
  <r>
    <x v="10"/>
    <x v="0"/>
    <s v="ASY"/>
    <n v="122"/>
    <n v="0"/>
    <n v="0"/>
    <s v="Normal"/>
    <n v="120"/>
    <x v="0"/>
    <n v="0.5"/>
    <s v="Up"/>
    <x v="1"/>
  </r>
  <r>
    <x v="29"/>
    <x v="0"/>
    <s v="NAP"/>
    <n v="130"/>
    <n v="0"/>
    <n v="1"/>
    <s v="ST"/>
    <n v="160"/>
    <x v="0"/>
    <n v="3"/>
    <s v="Flat"/>
    <x v="0"/>
  </r>
  <r>
    <x v="39"/>
    <x v="0"/>
    <s v="NAP"/>
    <n v="150"/>
    <n v="195"/>
    <n v="1"/>
    <s v="Normal"/>
    <n v="132"/>
    <x v="0"/>
    <n v="0"/>
    <s v="Flat"/>
    <x v="1"/>
  </r>
  <r>
    <x v="20"/>
    <x v="0"/>
    <s v="ASY"/>
    <n v="150"/>
    <n v="235"/>
    <n v="0"/>
    <s v="Normal"/>
    <n v="120"/>
    <x v="1"/>
    <n v="1.5"/>
    <s v="Flat"/>
    <x v="1"/>
  </r>
  <r>
    <x v="3"/>
    <x v="0"/>
    <s v="NAP"/>
    <n v="102"/>
    <n v="0"/>
    <n v="1"/>
    <s v="ST"/>
    <n v="110"/>
    <x v="1"/>
    <n v="1"/>
    <s v="Down"/>
    <x v="1"/>
  </r>
  <r>
    <x v="29"/>
    <x v="0"/>
    <s v="ASY"/>
    <n v="96"/>
    <n v="305"/>
    <n v="0"/>
    <s v="ST"/>
    <n v="121"/>
    <x v="1"/>
    <n v="1"/>
    <s v="Up"/>
    <x v="1"/>
  </r>
  <r>
    <x v="41"/>
    <x v="0"/>
    <s v="ASY"/>
    <n v="130"/>
    <n v="223"/>
    <n v="0"/>
    <s v="ST"/>
    <n v="128"/>
    <x v="0"/>
    <n v="0.5"/>
    <s v="Flat"/>
    <x v="0"/>
  </r>
  <r>
    <x v="33"/>
    <x v="0"/>
    <s v="ASY"/>
    <n v="120"/>
    <n v="282"/>
    <n v="0"/>
    <s v="ST"/>
    <n v="135"/>
    <x v="1"/>
    <n v="4"/>
    <s v="Down"/>
    <x v="1"/>
  </r>
  <r>
    <x v="23"/>
    <x v="0"/>
    <s v="ASY"/>
    <n v="144"/>
    <n v="349"/>
    <n v="0"/>
    <s v="LVH"/>
    <n v="120"/>
    <x v="1"/>
    <n v="1"/>
    <s v="Up"/>
    <x v="1"/>
  </r>
  <r>
    <x v="22"/>
    <x v="0"/>
    <s v="ASY"/>
    <n v="124"/>
    <n v="160"/>
    <n v="0"/>
    <s v="Normal"/>
    <n v="117"/>
    <x v="1"/>
    <n v="1"/>
    <s v="Flat"/>
    <x v="1"/>
  </r>
  <r>
    <x v="28"/>
    <x v="0"/>
    <s v="ASY"/>
    <n v="150"/>
    <n v="160"/>
    <n v="0"/>
    <s v="ST"/>
    <n v="150"/>
    <x v="0"/>
    <n v="0"/>
    <s v="Up"/>
    <x v="0"/>
  </r>
  <r>
    <x v="6"/>
    <x v="0"/>
    <s v="NAP"/>
    <n v="130"/>
    <n v="236"/>
    <n v="0"/>
    <s v="Normal"/>
    <n v="144"/>
    <x v="0"/>
    <n v="0.1"/>
    <s v="Up"/>
    <x v="0"/>
  </r>
  <r>
    <x v="20"/>
    <x v="0"/>
    <s v="ASY"/>
    <n v="144"/>
    <n v="312"/>
    <n v="0"/>
    <s v="LVH"/>
    <n v="113"/>
    <x v="1"/>
    <n v="1.7"/>
    <s v="Flat"/>
    <x v="1"/>
  </r>
  <r>
    <x v="33"/>
    <x v="0"/>
    <s v="ATA"/>
    <n v="139"/>
    <n v="283"/>
    <n v="0"/>
    <s v="Normal"/>
    <n v="135"/>
    <x v="0"/>
    <n v="0.3"/>
    <s v="Up"/>
    <x v="0"/>
  </r>
  <r>
    <x v="1"/>
    <x v="0"/>
    <s v="NAP"/>
    <n v="131"/>
    <n v="142"/>
    <n v="0"/>
    <s v="Normal"/>
    <n v="127"/>
    <x v="1"/>
    <n v="1.5"/>
    <s v="Flat"/>
    <x v="1"/>
  </r>
  <r>
    <x v="40"/>
    <x v="0"/>
    <s v="ASY"/>
    <n v="143"/>
    <n v="211"/>
    <n v="0"/>
    <s v="Normal"/>
    <n v="109"/>
    <x v="1"/>
    <n v="1.4"/>
    <s v="Flat"/>
    <x v="1"/>
  </r>
  <r>
    <x v="23"/>
    <x v="0"/>
    <s v="ASY"/>
    <n v="133"/>
    <n v="218"/>
    <n v="0"/>
    <s v="Normal"/>
    <n v="128"/>
    <x v="1"/>
    <n v="1.1000000000000001"/>
    <s v="Flat"/>
    <x v="1"/>
  </r>
  <r>
    <x v="41"/>
    <x v="0"/>
    <s v="ASY"/>
    <n v="143"/>
    <n v="306"/>
    <n v="1"/>
    <s v="ST"/>
    <n v="115"/>
    <x v="1"/>
    <n v="1.8"/>
    <s v="Flat"/>
    <x v="1"/>
  </r>
  <r>
    <x v="28"/>
    <x v="0"/>
    <s v="ASY"/>
    <n v="116"/>
    <n v="186"/>
    <n v="1"/>
    <s v="ST"/>
    <n v="102"/>
    <x v="0"/>
    <n v="0"/>
    <s v="Flat"/>
    <x v="1"/>
  </r>
  <r>
    <x v="29"/>
    <x v="0"/>
    <s v="ASY"/>
    <n v="110"/>
    <n v="252"/>
    <n v="0"/>
    <s v="ST"/>
    <n v="140"/>
    <x v="1"/>
    <n v="2"/>
    <s v="Flat"/>
    <x v="1"/>
  </r>
  <r>
    <x v="22"/>
    <x v="0"/>
    <s v="ASY"/>
    <n v="125"/>
    <n v="222"/>
    <n v="0"/>
    <s v="Normal"/>
    <n v="135"/>
    <x v="1"/>
    <n v="2.5"/>
    <s v="Down"/>
    <x v="1"/>
  </r>
  <r>
    <x v="17"/>
    <x v="0"/>
    <s v="ASY"/>
    <n v="130"/>
    <n v="0"/>
    <n v="0"/>
    <s v="LVH"/>
    <n v="122"/>
    <x v="1"/>
    <n v="1"/>
    <s v="Flat"/>
    <x v="1"/>
  </r>
  <r>
    <x v="35"/>
    <x v="0"/>
    <s v="NAP"/>
    <n v="133"/>
    <n v="0"/>
    <n v="1"/>
    <s v="ST"/>
    <n v="119"/>
    <x v="1"/>
    <n v="1.2"/>
    <s v="Flat"/>
    <x v="1"/>
  </r>
  <r>
    <x v="38"/>
    <x v="0"/>
    <s v="ASY"/>
    <n v="150"/>
    <n v="258"/>
    <n v="1"/>
    <s v="ST"/>
    <n v="130"/>
    <x v="1"/>
    <n v="4"/>
    <s v="Down"/>
    <x v="1"/>
  </r>
  <r>
    <x v="4"/>
    <x v="0"/>
    <s v="ASY"/>
    <n v="130"/>
    <n v="202"/>
    <n v="1"/>
    <s v="Normal"/>
    <n v="112"/>
    <x v="1"/>
    <n v="2"/>
    <s v="Flat"/>
    <x v="1"/>
  </r>
  <r>
    <x v="27"/>
    <x v="0"/>
    <s v="ASY"/>
    <n v="110"/>
    <n v="197"/>
    <n v="0"/>
    <s v="LVH"/>
    <n v="100"/>
    <x v="0"/>
    <n v="0"/>
    <s v="Up"/>
    <x v="0"/>
  </r>
  <r>
    <x v="35"/>
    <x v="0"/>
    <s v="NAP"/>
    <n v="138"/>
    <n v="204"/>
    <n v="0"/>
    <s v="ST"/>
    <n v="122"/>
    <x v="1"/>
    <n v="1.2"/>
    <s v="Flat"/>
    <x v="1"/>
  </r>
  <r>
    <x v="48"/>
    <x v="0"/>
    <s v="NAP"/>
    <n v="104"/>
    <n v="113"/>
    <n v="0"/>
    <s v="LVH"/>
    <n v="120"/>
    <x v="0"/>
    <n v="3.5"/>
    <s v="Down"/>
    <x v="1"/>
  </r>
  <r>
    <x v="4"/>
    <x v="1"/>
    <s v="ASY"/>
    <n v="138"/>
    <n v="274"/>
    <n v="0"/>
    <s v="Normal"/>
    <n v="105"/>
    <x v="1"/>
    <n v="1.5"/>
    <s v="Flat"/>
    <x v="1"/>
  </r>
  <r>
    <x v="45"/>
    <x v="0"/>
    <s v="ASY"/>
    <n v="170"/>
    <n v="192"/>
    <n v="0"/>
    <s v="ST"/>
    <n v="129"/>
    <x v="1"/>
    <n v="3"/>
    <s v="Down"/>
    <x v="1"/>
  </r>
  <r>
    <x v="33"/>
    <x v="1"/>
    <s v="ATA"/>
    <n v="140"/>
    <n v="298"/>
    <n v="1"/>
    <s v="Normal"/>
    <n v="120"/>
    <x v="1"/>
    <n v="0"/>
    <s v="Up"/>
    <x v="0"/>
  </r>
  <r>
    <x v="3"/>
    <x v="0"/>
    <s v="ASY"/>
    <n v="132"/>
    <n v="272"/>
    <n v="0"/>
    <s v="ST"/>
    <n v="139"/>
    <x v="0"/>
    <n v="0.2"/>
    <s v="Up"/>
    <x v="0"/>
  </r>
  <r>
    <x v="3"/>
    <x v="0"/>
    <s v="NAP"/>
    <n v="132"/>
    <n v="220"/>
    <n v="1"/>
    <s v="ST"/>
    <n v="162"/>
    <x v="0"/>
    <n v="0"/>
    <s v="Flat"/>
    <x v="1"/>
  </r>
  <r>
    <x v="33"/>
    <x v="0"/>
    <s v="TA"/>
    <n v="142"/>
    <n v="200"/>
    <n v="1"/>
    <s v="ST"/>
    <n v="100"/>
    <x v="0"/>
    <n v="1.5"/>
    <s v="Down"/>
    <x v="1"/>
  </r>
  <r>
    <x v="30"/>
    <x v="0"/>
    <s v="ASY"/>
    <n v="112"/>
    <n v="261"/>
    <n v="0"/>
    <s v="Normal"/>
    <n v="140"/>
    <x v="0"/>
    <n v="1.5"/>
    <s v="Up"/>
    <x v="1"/>
  </r>
  <r>
    <x v="39"/>
    <x v="0"/>
    <s v="TA"/>
    <n v="139"/>
    <n v="181"/>
    <n v="1"/>
    <s v="ST"/>
    <n v="135"/>
    <x v="0"/>
    <n v="0.2"/>
    <s v="Up"/>
    <x v="0"/>
  </r>
  <r>
    <x v="28"/>
    <x v="0"/>
    <s v="ASY"/>
    <n v="172"/>
    <n v="260"/>
    <n v="0"/>
    <s v="Normal"/>
    <n v="73"/>
    <x v="0"/>
    <n v="2"/>
    <s v="Flat"/>
    <x v="1"/>
  </r>
  <r>
    <x v="35"/>
    <x v="0"/>
    <s v="NAP"/>
    <n v="120"/>
    <n v="220"/>
    <n v="0"/>
    <s v="LVH"/>
    <n v="86"/>
    <x v="0"/>
    <n v="0"/>
    <s v="Up"/>
    <x v="0"/>
  </r>
  <r>
    <x v="49"/>
    <x v="0"/>
    <s v="NAP"/>
    <n v="144"/>
    <n v="221"/>
    <n v="0"/>
    <s v="Normal"/>
    <n v="108"/>
    <x v="1"/>
    <n v="1.8"/>
    <s v="Flat"/>
    <x v="1"/>
  </r>
  <r>
    <x v="38"/>
    <x v="0"/>
    <s v="TA"/>
    <n v="145"/>
    <n v="216"/>
    <n v="1"/>
    <s v="Normal"/>
    <n v="116"/>
    <x v="1"/>
    <n v="1.8"/>
    <s v="Flat"/>
    <x v="1"/>
  </r>
  <r>
    <x v="14"/>
    <x v="0"/>
    <s v="NAP"/>
    <n v="155"/>
    <n v="175"/>
    <n v="1"/>
    <s v="ST"/>
    <n v="160"/>
    <x v="0"/>
    <n v="0.3"/>
    <s v="Up"/>
    <x v="0"/>
  </r>
  <r>
    <x v="7"/>
    <x v="0"/>
    <s v="NAP"/>
    <n v="150"/>
    <n v="219"/>
    <n v="0"/>
    <s v="ST"/>
    <n v="118"/>
    <x v="1"/>
    <n v="0"/>
    <s v="Flat"/>
    <x v="1"/>
  </r>
  <r>
    <x v="47"/>
    <x v="0"/>
    <s v="ASY"/>
    <n v="160"/>
    <n v="310"/>
    <n v="1"/>
    <s v="Normal"/>
    <n v="112"/>
    <x v="1"/>
    <n v="2"/>
    <s v="Down"/>
    <x v="0"/>
  </r>
  <r>
    <x v="17"/>
    <x v="0"/>
    <s v="NAP"/>
    <n v="137"/>
    <n v="208"/>
    <n v="1"/>
    <s v="ST"/>
    <n v="122"/>
    <x v="1"/>
    <n v="1.8"/>
    <s v="Flat"/>
    <x v="1"/>
  </r>
  <r>
    <x v="7"/>
    <x v="0"/>
    <s v="NAP"/>
    <n v="137"/>
    <n v="232"/>
    <n v="0"/>
    <s v="ST"/>
    <n v="124"/>
    <x v="1"/>
    <n v="1.4"/>
    <s v="Flat"/>
    <x v="1"/>
  </r>
  <r>
    <x v="41"/>
    <x v="0"/>
    <s v="ASY"/>
    <n v="134"/>
    <n v="273"/>
    <n v="0"/>
    <s v="Normal"/>
    <n v="102"/>
    <x v="1"/>
    <n v="4"/>
    <s v="Down"/>
    <x v="1"/>
  </r>
  <r>
    <x v="4"/>
    <x v="0"/>
    <s v="NAP"/>
    <n v="133"/>
    <n v="203"/>
    <n v="0"/>
    <s v="ST"/>
    <n v="137"/>
    <x v="0"/>
    <n v="0.2"/>
    <s v="Up"/>
    <x v="0"/>
  </r>
  <r>
    <x v="4"/>
    <x v="0"/>
    <s v="ATA"/>
    <n v="132"/>
    <n v="182"/>
    <n v="0"/>
    <s v="ST"/>
    <n v="141"/>
    <x v="0"/>
    <n v="0.1"/>
    <s v="Up"/>
    <x v="0"/>
  </r>
  <r>
    <x v="22"/>
    <x v="0"/>
    <s v="ASY"/>
    <n v="140"/>
    <n v="274"/>
    <n v="0"/>
    <s v="Normal"/>
    <n v="154"/>
    <x v="1"/>
    <n v="2"/>
    <s v="Flat"/>
    <x v="0"/>
  </r>
  <r>
    <x v="28"/>
    <x v="0"/>
    <s v="ASY"/>
    <n v="135"/>
    <n v="204"/>
    <n v="1"/>
    <s v="ST"/>
    <n v="126"/>
    <x v="1"/>
    <n v="1.1000000000000001"/>
    <s v="Flat"/>
    <x v="1"/>
  </r>
  <r>
    <x v="27"/>
    <x v="0"/>
    <s v="ASY"/>
    <n v="144"/>
    <n v="270"/>
    <n v="1"/>
    <s v="ST"/>
    <n v="160"/>
    <x v="1"/>
    <n v="2"/>
    <s v="Flat"/>
    <x v="1"/>
  </r>
  <r>
    <x v="33"/>
    <x v="0"/>
    <s v="ASY"/>
    <n v="141"/>
    <n v="292"/>
    <n v="0"/>
    <s v="ST"/>
    <n v="115"/>
    <x v="1"/>
    <n v="1.7"/>
    <s v="Flat"/>
    <x v="1"/>
  </r>
  <r>
    <x v="18"/>
    <x v="0"/>
    <s v="ASY"/>
    <n v="150"/>
    <n v="171"/>
    <n v="0"/>
    <s v="Normal"/>
    <n v="128"/>
    <x v="1"/>
    <n v="1.5"/>
    <s v="Flat"/>
    <x v="0"/>
  </r>
  <r>
    <x v="49"/>
    <x v="0"/>
    <s v="ASY"/>
    <n v="130"/>
    <n v="221"/>
    <n v="0"/>
    <s v="ST"/>
    <n v="115"/>
    <x v="1"/>
    <n v="0"/>
    <s v="Flat"/>
    <x v="1"/>
  </r>
  <r>
    <x v="9"/>
    <x v="0"/>
    <s v="ASY"/>
    <n v="110"/>
    <n v="289"/>
    <n v="0"/>
    <s v="Normal"/>
    <n v="105"/>
    <x v="1"/>
    <n v="1.5"/>
    <s v="Down"/>
    <x v="1"/>
  </r>
  <r>
    <x v="28"/>
    <x v="0"/>
    <s v="ASY"/>
    <n v="158"/>
    <n v="217"/>
    <n v="0"/>
    <s v="Normal"/>
    <n v="110"/>
    <x v="1"/>
    <n v="2.5"/>
    <s v="Flat"/>
    <x v="1"/>
  </r>
  <r>
    <x v="17"/>
    <x v="0"/>
    <s v="ASY"/>
    <n v="128"/>
    <n v="223"/>
    <n v="0"/>
    <s v="ST"/>
    <n v="119"/>
    <x v="1"/>
    <n v="2"/>
    <s v="Down"/>
    <x v="1"/>
  </r>
  <r>
    <x v="42"/>
    <x v="0"/>
    <s v="ASY"/>
    <n v="140"/>
    <n v="110"/>
    <n v="1"/>
    <s v="Normal"/>
    <n v="109"/>
    <x v="1"/>
    <n v="1.5"/>
    <s v="Flat"/>
    <x v="1"/>
  </r>
  <r>
    <x v="41"/>
    <x v="0"/>
    <s v="ASY"/>
    <n v="150"/>
    <n v="193"/>
    <n v="0"/>
    <s v="ST"/>
    <n v="135"/>
    <x v="1"/>
    <n v="0.5"/>
    <s v="Flat"/>
    <x v="1"/>
  </r>
  <r>
    <x v="40"/>
    <x v="0"/>
    <s v="ASY"/>
    <n v="160"/>
    <n v="123"/>
    <n v="1"/>
    <s v="LVH"/>
    <n v="130"/>
    <x v="0"/>
    <n v="1.5"/>
    <s v="Flat"/>
    <x v="1"/>
  </r>
  <r>
    <x v="42"/>
    <x v="0"/>
    <s v="ASY"/>
    <n v="142"/>
    <n v="210"/>
    <n v="1"/>
    <s v="ST"/>
    <n v="112"/>
    <x v="1"/>
    <n v="1.5"/>
    <s v="Flat"/>
    <x v="1"/>
  </r>
  <r>
    <x v="17"/>
    <x v="0"/>
    <s v="ASY"/>
    <n v="137"/>
    <n v="282"/>
    <n v="1"/>
    <s v="Normal"/>
    <n v="126"/>
    <x v="1"/>
    <n v="1.2"/>
    <s v="Flat"/>
    <x v="1"/>
  </r>
  <r>
    <x v="35"/>
    <x v="0"/>
    <s v="ASY"/>
    <n v="139"/>
    <n v="170"/>
    <n v="0"/>
    <s v="ST"/>
    <n v="120"/>
    <x v="1"/>
    <n v="3"/>
    <s v="Flat"/>
    <x v="1"/>
  </r>
  <r>
    <x v="43"/>
    <x v="0"/>
    <s v="ASY"/>
    <n v="146"/>
    <n v="369"/>
    <n v="0"/>
    <s v="Normal"/>
    <n v="110"/>
    <x v="1"/>
    <n v="1.9"/>
    <s v="Flat"/>
    <x v="1"/>
  </r>
  <r>
    <x v="27"/>
    <x v="0"/>
    <s v="ASY"/>
    <n v="156"/>
    <n v="173"/>
    <n v="0"/>
    <s v="LVH"/>
    <n v="119"/>
    <x v="1"/>
    <n v="3"/>
    <s v="Down"/>
    <x v="1"/>
  </r>
  <r>
    <x v="42"/>
    <x v="0"/>
    <s v="ASY"/>
    <n v="145"/>
    <n v="289"/>
    <n v="1"/>
    <s v="ST"/>
    <n v="110"/>
    <x v="1"/>
    <n v="1.8"/>
    <s v="Flat"/>
    <x v="1"/>
  </r>
  <r>
    <x v="16"/>
    <x v="0"/>
    <s v="ASY"/>
    <n v="131"/>
    <n v="152"/>
    <n v="1"/>
    <s v="LVH"/>
    <n v="130"/>
    <x v="1"/>
    <n v="1"/>
    <s v="Flat"/>
    <x v="1"/>
  </r>
  <r>
    <x v="3"/>
    <x v="0"/>
    <s v="ASY"/>
    <n v="140"/>
    <n v="208"/>
    <n v="0"/>
    <s v="Normal"/>
    <n v="159"/>
    <x v="1"/>
    <n v="1.5"/>
    <s v="Up"/>
    <x v="1"/>
  </r>
  <r>
    <x v="42"/>
    <x v="0"/>
    <s v="ASY"/>
    <n v="122"/>
    <n v="216"/>
    <n v="1"/>
    <s v="LVH"/>
    <n v="84"/>
    <x v="1"/>
    <n v="0"/>
    <s v="Flat"/>
    <x v="1"/>
  </r>
  <r>
    <x v="42"/>
    <x v="0"/>
    <s v="NAP"/>
    <n v="142"/>
    <n v="271"/>
    <n v="0"/>
    <s v="LVH"/>
    <n v="126"/>
    <x v="0"/>
    <n v="0.3"/>
    <s v="Up"/>
    <x v="0"/>
  </r>
  <r>
    <x v="41"/>
    <x v="0"/>
    <s v="ASY"/>
    <n v="141"/>
    <n v="244"/>
    <n v="1"/>
    <s v="ST"/>
    <n v="116"/>
    <x v="1"/>
    <n v="1.5"/>
    <s v="Flat"/>
    <x v="1"/>
  </r>
  <r>
    <x v="27"/>
    <x v="0"/>
    <s v="ATA"/>
    <n v="180"/>
    <n v="285"/>
    <n v="1"/>
    <s v="ST"/>
    <n v="120"/>
    <x v="0"/>
    <n v="0.8"/>
    <s v="Flat"/>
    <x v="1"/>
  </r>
  <r>
    <x v="14"/>
    <x v="0"/>
    <s v="ASY"/>
    <n v="124"/>
    <n v="243"/>
    <n v="0"/>
    <s v="Normal"/>
    <n v="122"/>
    <x v="1"/>
    <n v="2"/>
    <s v="Flat"/>
    <x v="1"/>
  </r>
  <r>
    <x v="2"/>
    <x v="0"/>
    <s v="NAP"/>
    <n v="118"/>
    <n v="240"/>
    <n v="0"/>
    <s v="LVH"/>
    <n v="165"/>
    <x v="0"/>
    <n v="1"/>
    <s v="Flat"/>
    <x v="0"/>
  </r>
  <r>
    <x v="43"/>
    <x v="0"/>
    <s v="ASY"/>
    <n v="140"/>
    <n v="219"/>
    <n v="0"/>
    <s v="ST"/>
    <n v="122"/>
    <x v="1"/>
    <n v="2"/>
    <s v="Flat"/>
    <x v="1"/>
  </r>
  <r>
    <x v="38"/>
    <x v="0"/>
    <s v="NAP"/>
    <n v="140"/>
    <n v="237"/>
    <n v="1"/>
    <s v="Normal"/>
    <n v="94"/>
    <x v="0"/>
    <n v="0"/>
    <s v="Flat"/>
    <x v="1"/>
  </r>
  <r>
    <x v="29"/>
    <x v="0"/>
    <s v="ATA"/>
    <n v="136"/>
    <n v="165"/>
    <n v="0"/>
    <s v="ST"/>
    <n v="133"/>
    <x v="0"/>
    <n v="0.2"/>
    <s v="Up"/>
    <x v="0"/>
  </r>
  <r>
    <x v="7"/>
    <x v="0"/>
    <s v="ASY"/>
    <n v="100"/>
    <n v="213"/>
    <n v="0"/>
    <s v="ST"/>
    <n v="110"/>
    <x v="0"/>
    <n v="0"/>
    <s v="Up"/>
    <x v="0"/>
  </r>
  <r>
    <x v="33"/>
    <x v="0"/>
    <s v="ASY"/>
    <n v="190"/>
    <n v="287"/>
    <n v="1"/>
    <s v="LVH"/>
    <n v="150"/>
    <x v="1"/>
    <n v="2"/>
    <s v="Down"/>
    <x v="1"/>
  </r>
  <r>
    <x v="41"/>
    <x v="0"/>
    <s v="ASY"/>
    <n v="130"/>
    <n v="258"/>
    <n v="1"/>
    <s v="LVH"/>
    <n v="130"/>
    <x v="0"/>
    <n v="0"/>
    <s v="Flat"/>
    <x v="1"/>
  </r>
  <r>
    <x v="7"/>
    <x v="0"/>
    <s v="ASY"/>
    <n v="160"/>
    <n v="256"/>
    <n v="1"/>
    <s v="LVH"/>
    <n v="113"/>
    <x v="1"/>
    <n v="1"/>
    <s v="Up"/>
    <x v="1"/>
  </r>
  <r>
    <x v="11"/>
    <x v="0"/>
    <s v="ASY"/>
    <n v="130"/>
    <n v="186"/>
    <n v="1"/>
    <s v="LVH"/>
    <n v="140"/>
    <x v="1"/>
    <n v="0.5"/>
    <s v="Flat"/>
    <x v="1"/>
  </r>
  <r>
    <x v="27"/>
    <x v="0"/>
    <s v="ASY"/>
    <n v="122"/>
    <n v="264"/>
    <n v="0"/>
    <s v="LVH"/>
    <n v="100"/>
    <x v="0"/>
    <n v="0"/>
    <s v="Flat"/>
    <x v="1"/>
  </r>
  <r>
    <x v="28"/>
    <x v="0"/>
    <s v="NAP"/>
    <n v="133"/>
    <n v="185"/>
    <n v="0"/>
    <s v="ST"/>
    <n v="136"/>
    <x v="0"/>
    <n v="0.2"/>
    <s v="Up"/>
    <x v="0"/>
  </r>
  <r>
    <x v="28"/>
    <x v="0"/>
    <s v="ASY"/>
    <n v="120"/>
    <n v="226"/>
    <n v="0"/>
    <s v="LVH"/>
    <n v="127"/>
    <x v="1"/>
    <n v="1.7"/>
    <s v="Down"/>
    <x v="1"/>
  </r>
  <r>
    <x v="17"/>
    <x v="0"/>
    <s v="ASY"/>
    <n v="130"/>
    <n v="203"/>
    <n v="1"/>
    <s v="Normal"/>
    <n v="98"/>
    <x v="0"/>
    <n v="1.5"/>
    <s v="Flat"/>
    <x v="1"/>
  </r>
  <r>
    <x v="27"/>
    <x v="0"/>
    <s v="ASY"/>
    <n v="130"/>
    <n v="207"/>
    <n v="0"/>
    <s v="ST"/>
    <n v="96"/>
    <x v="1"/>
    <n v="1"/>
    <s v="Flat"/>
    <x v="0"/>
  </r>
  <r>
    <x v="33"/>
    <x v="0"/>
    <s v="NAP"/>
    <n v="140"/>
    <n v="284"/>
    <n v="0"/>
    <s v="Normal"/>
    <n v="123"/>
    <x v="1"/>
    <n v="1.3"/>
    <s v="Flat"/>
    <x v="1"/>
  </r>
  <r>
    <x v="33"/>
    <x v="0"/>
    <s v="NAP"/>
    <n v="120"/>
    <n v="337"/>
    <n v="0"/>
    <s v="Normal"/>
    <n v="98"/>
    <x v="1"/>
    <n v="0"/>
    <s v="Flat"/>
    <x v="1"/>
  </r>
  <r>
    <x v="38"/>
    <x v="0"/>
    <s v="ASY"/>
    <n v="155"/>
    <n v="310"/>
    <n v="0"/>
    <s v="Normal"/>
    <n v="112"/>
    <x v="1"/>
    <n v="1.5"/>
    <s v="Down"/>
    <x v="1"/>
  </r>
  <r>
    <x v="39"/>
    <x v="0"/>
    <s v="NAP"/>
    <n v="134"/>
    <n v="254"/>
    <n v="1"/>
    <s v="Normal"/>
    <n v="151"/>
    <x v="1"/>
    <n v="0"/>
    <s v="Up"/>
    <x v="0"/>
  </r>
  <r>
    <x v="16"/>
    <x v="1"/>
    <s v="ASY"/>
    <n v="114"/>
    <n v="258"/>
    <n v="1"/>
    <s v="LVH"/>
    <n v="96"/>
    <x v="0"/>
    <n v="1"/>
    <s v="Up"/>
    <x v="0"/>
  </r>
  <r>
    <x v="35"/>
    <x v="0"/>
    <s v="ASY"/>
    <n v="160"/>
    <n v="254"/>
    <n v="1"/>
    <s v="ST"/>
    <n v="108"/>
    <x v="1"/>
    <n v="3"/>
    <s v="Flat"/>
    <x v="1"/>
  </r>
  <r>
    <x v="14"/>
    <x v="0"/>
    <s v="ASY"/>
    <n v="144"/>
    <n v="300"/>
    <n v="1"/>
    <s v="ST"/>
    <n v="128"/>
    <x v="1"/>
    <n v="1.5"/>
    <s v="Flat"/>
    <x v="1"/>
  </r>
  <r>
    <x v="35"/>
    <x v="0"/>
    <s v="ASY"/>
    <n v="158"/>
    <n v="170"/>
    <n v="0"/>
    <s v="ST"/>
    <n v="138"/>
    <x v="1"/>
    <n v="0"/>
    <s v="Flat"/>
    <x v="1"/>
  </r>
  <r>
    <x v="26"/>
    <x v="0"/>
    <s v="ASY"/>
    <n v="134"/>
    <n v="310"/>
    <n v="0"/>
    <s v="Normal"/>
    <n v="126"/>
    <x v="0"/>
    <n v="0"/>
    <s v="Flat"/>
    <x v="1"/>
  </r>
  <r>
    <x v="4"/>
    <x v="1"/>
    <s v="ASY"/>
    <n v="127"/>
    <n v="333"/>
    <n v="1"/>
    <s v="ST"/>
    <n v="154"/>
    <x v="0"/>
    <n v="0"/>
    <s v="Flat"/>
    <x v="1"/>
  </r>
  <r>
    <x v="35"/>
    <x v="0"/>
    <s v="TA"/>
    <n v="135"/>
    <n v="139"/>
    <n v="0"/>
    <s v="ST"/>
    <n v="137"/>
    <x v="0"/>
    <n v="0.2"/>
    <s v="Up"/>
    <x v="0"/>
  </r>
  <r>
    <x v="28"/>
    <x v="0"/>
    <s v="ASY"/>
    <n v="122"/>
    <n v="223"/>
    <n v="1"/>
    <s v="ST"/>
    <n v="100"/>
    <x v="0"/>
    <n v="0"/>
    <s v="Flat"/>
    <x v="1"/>
  </r>
  <r>
    <x v="7"/>
    <x v="0"/>
    <s v="ASY"/>
    <n v="140"/>
    <n v="385"/>
    <n v="1"/>
    <s v="LVH"/>
    <n v="135"/>
    <x v="0"/>
    <n v="0.3"/>
    <s v="Up"/>
    <x v="0"/>
  </r>
  <r>
    <x v="35"/>
    <x v="0"/>
    <s v="ATA"/>
    <n v="120"/>
    <n v="254"/>
    <n v="0"/>
    <s v="LVH"/>
    <n v="93"/>
    <x v="1"/>
    <n v="0"/>
    <s v="Flat"/>
    <x v="1"/>
  </r>
  <r>
    <x v="45"/>
    <x v="0"/>
    <s v="ASY"/>
    <n v="130"/>
    <n v="322"/>
    <n v="0"/>
    <s v="LVH"/>
    <n v="109"/>
    <x v="0"/>
    <n v="2.4"/>
    <s v="Flat"/>
    <x v="1"/>
  </r>
  <r>
    <x v="43"/>
    <x v="1"/>
    <s v="NAP"/>
    <n v="115"/>
    <n v="564"/>
    <n v="0"/>
    <s v="LVH"/>
    <n v="160"/>
    <x v="0"/>
    <n v="1.6"/>
    <s v="Flat"/>
    <x v="0"/>
  </r>
  <r>
    <x v="27"/>
    <x v="0"/>
    <s v="ATA"/>
    <n v="124"/>
    <n v="261"/>
    <n v="0"/>
    <s v="Normal"/>
    <n v="141"/>
    <x v="0"/>
    <n v="0.3"/>
    <s v="Up"/>
    <x v="1"/>
  </r>
  <r>
    <x v="41"/>
    <x v="0"/>
    <s v="ASY"/>
    <n v="128"/>
    <n v="263"/>
    <n v="0"/>
    <s v="Normal"/>
    <n v="105"/>
    <x v="1"/>
    <n v="0.2"/>
    <s v="Flat"/>
    <x v="0"/>
  </r>
  <r>
    <x v="38"/>
    <x v="1"/>
    <s v="ATA"/>
    <n v="120"/>
    <n v="269"/>
    <n v="0"/>
    <s v="LVH"/>
    <n v="121"/>
    <x v="1"/>
    <n v="0.2"/>
    <s v="Up"/>
    <x v="0"/>
  </r>
  <r>
    <x v="20"/>
    <x v="0"/>
    <s v="ASY"/>
    <n v="120"/>
    <n v="177"/>
    <n v="0"/>
    <s v="Normal"/>
    <n v="140"/>
    <x v="0"/>
    <n v="0.4"/>
    <s v="Up"/>
    <x v="0"/>
  </r>
  <r>
    <x v="17"/>
    <x v="0"/>
    <s v="NAP"/>
    <n v="130"/>
    <n v="256"/>
    <n v="1"/>
    <s v="LVH"/>
    <n v="142"/>
    <x v="1"/>
    <n v="0.6"/>
    <s v="Flat"/>
    <x v="1"/>
  </r>
  <r>
    <x v="22"/>
    <x v="0"/>
    <s v="ASY"/>
    <n v="110"/>
    <n v="239"/>
    <n v="0"/>
    <s v="LVH"/>
    <n v="142"/>
    <x v="1"/>
    <n v="1.2"/>
    <s v="Flat"/>
    <x v="1"/>
  </r>
  <r>
    <x v="11"/>
    <x v="0"/>
    <s v="ASY"/>
    <n v="140"/>
    <n v="293"/>
    <n v="0"/>
    <s v="LVH"/>
    <n v="170"/>
    <x v="0"/>
    <n v="1.2"/>
    <s v="Flat"/>
    <x v="1"/>
  </r>
  <r>
    <x v="29"/>
    <x v="1"/>
    <s v="ASY"/>
    <n v="150"/>
    <n v="407"/>
    <n v="0"/>
    <s v="LVH"/>
    <n v="154"/>
    <x v="0"/>
    <n v="4"/>
    <s v="Flat"/>
    <x v="1"/>
  </r>
  <r>
    <x v="22"/>
    <x v="0"/>
    <s v="ASY"/>
    <n v="135"/>
    <n v="234"/>
    <n v="0"/>
    <s v="Normal"/>
    <n v="161"/>
    <x v="0"/>
    <n v="0.5"/>
    <s v="Flat"/>
    <x v="0"/>
  </r>
  <r>
    <x v="14"/>
    <x v="0"/>
    <s v="ASY"/>
    <n v="142"/>
    <n v="226"/>
    <n v="0"/>
    <s v="LVH"/>
    <n v="111"/>
    <x v="1"/>
    <n v="0"/>
    <s v="Up"/>
    <x v="0"/>
  </r>
  <r>
    <x v="13"/>
    <x v="0"/>
    <s v="NAP"/>
    <n v="140"/>
    <n v="235"/>
    <n v="0"/>
    <s v="LVH"/>
    <n v="180"/>
    <x v="0"/>
    <n v="0"/>
    <s v="Up"/>
    <x v="0"/>
  </r>
  <r>
    <x v="33"/>
    <x v="0"/>
    <s v="TA"/>
    <n v="134"/>
    <n v="234"/>
    <n v="0"/>
    <s v="Normal"/>
    <n v="145"/>
    <x v="0"/>
    <n v="2.6"/>
    <s v="Flat"/>
    <x v="1"/>
  </r>
  <r>
    <x v="27"/>
    <x v="1"/>
    <s v="ASY"/>
    <n v="128"/>
    <n v="303"/>
    <n v="0"/>
    <s v="LVH"/>
    <n v="159"/>
    <x v="0"/>
    <n v="0"/>
    <s v="Up"/>
    <x v="0"/>
  </r>
  <r>
    <x v="49"/>
    <x v="1"/>
    <s v="ASY"/>
    <n v="112"/>
    <n v="149"/>
    <n v="0"/>
    <s v="Normal"/>
    <n v="125"/>
    <x v="0"/>
    <n v="1.6"/>
    <s v="Flat"/>
    <x v="0"/>
  </r>
  <r>
    <x v="26"/>
    <x v="0"/>
    <s v="ASY"/>
    <n v="140"/>
    <n v="311"/>
    <n v="0"/>
    <s v="Normal"/>
    <n v="120"/>
    <x v="1"/>
    <n v="1.8"/>
    <s v="Flat"/>
    <x v="1"/>
  </r>
  <r>
    <x v="14"/>
    <x v="0"/>
    <s v="ASY"/>
    <n v="140"/>
    <n v="203"/>
    <n v="1"/>
    <s v="LVH"/>
    <n v="155"/>
    <x v="1"/>
    <n v="3.1"/>
    <s v="Down"/>
    <x v="1"/>
  </r>
  <r>
    <x v="41"/>
    <x v="0"/>
    <s v="TA"/>
    <n v="110"/>
    <n v="211"/>
    <n v="0"/>
    <s v="LVH"/>
    <n v="144"/>
    <x v="1"/>
    <n v="1.8"/>
    <s v="Flat"/>
    <x v="0"/>
  </r>
  <r>
    <x v="0"/>
    <x v="0"/>
    <s v="TA"/>
    <n v="140"/>
    <n v="199"/>
    <n v="0"/>
    <s v="Normal"/>
    <n v="178"/>
    <x v="1"/>
    <n v="1.4"/>
    <s v="Up"/>
    <x v="0"/>
  </r>
  <r>
    <x v="43"/>
    <x v="0"/>
    <s v="ASY"/>
    <n v="120"/>
    <n v="229"/>
    <n v="0"/>
    <s v="LVH"/>
    <n v="129"/>
    <x v="1"/>
    <n v="2.6"/>
    <s v="Flat"/>
    <x v="1"/>
  </r>
  <r>
    <x v="3"/>
    <x v="0"/>
    <s v="ATA"/>
    <n v="130"/>
    <n v="245"/>
    <n v="0"/>
    <s v="LVH"/>
    <n v="180"/>
    <x v="0"/>
    <n v="0.2"/>
    <s v="Flat"/>
    <x v="0"/>
  </r>
  <r>
    <x v="10"/>
    <x v="0"/>
    <s v="ASY"/>
    <n v="115"/>
    <n v="303"/>
    <n v="0"/>
    <s v="Normal"/>
    <n v="181"/>
    <x v="0"/>
    <n v="1.2"/>
    <s v="Flat"/>
    <x v="0"/>
  </r>
  <r>
    <x v="24"/>
    <x v="0"/>
    <s v="ASY"/>
    <n v="112"/>
    <n v="204"/>
    <n v="0"/>
    <s v="Normal"/>
    <n v="143"/>
    <x v="0"/>
    <n v="0.1"/>
    <s v="Up"/>
    <x v="0"/>
  </r>
  <r>
    <x v="4"/>
    <x v="1"/>
    <s v="ATA"/>
    <n v="132"/>
    <n v="288"/>
    <n v="1"/>
    <s v="LVH"/>
    <n v="159"/>
    <x v="1"/>
    <n v="0"/>
    <s v="Up"/>
    <x v="0"/>
  </r>
  <r>
    <x v="3"/>
    <x v="1"/>
    <s v="NAP"/>
    <n v="130"/>
    <n v="275"/>
    <n v="0"/>
    <s v="Normal"/>
    <n v="139"/>
    <x v="0"/>
    <n v="0.2"/>
    <s v="Up"/>
    <x v="0"/>
  </r>
  <r>
    <x v="26"/>
    <x v="1"/>
    <s v="ASY"/>
    <n v="138"/>
    <n v="243"/>
    <n v="0"/>
    <s v="LVH"/>
    <n v="152"/>
    <x v="1"/>
    <n v="0"/>
    <s v="Flat"/>
    <x v="0"/>
  </r>
  <r>
    <x v="16"/>
    <x v="1"/>
    <s v="NAP"/>
    <n v="120"/>
    <n v="295"/>
    <n v="0"/>
    <s v="LVH"/>
    <n v="157"/>
    <x v="0"/>
    <n v="0.6"/>
    <s v="Up"/>
    <x v="0"/>
  </r>
  <r>
    <x v="7"/>
    <x v="0"/>
    <s v="NAP"/>
    <n v="112"/>
    <n v="230"/>
    <n v="0"/>
    <s v="LVH"/>
    <n v="165"/>
    <x v="0"/>
    <n v="2.5"/>
    <s v="Flat"/>
    <x v="1"/>
  </r>
  <r>
    <x v="49"/>
    <x v="1"/>
    <s v="NAP"/>
    <n v="110"/>
    <n v="265"/>
    <n v="1"/>
    <s v="LVH"/>
    <n v="130"/>
    <x v="0"/>
    <n v="0"/>
    <s v="Up"/>
    <x v="0"/>
  </r>
  <r>
    <x v="27"/>
    <x v="0"/>
    <s v="NAP"/>
    <n v="128"/>
    <n v="229"/>
    <n v="0"/>
    <s v="LVH"/>
    <n v="150"/>
    <x v="0"/>
    <n v="0.4"/>
    <s v="Flat"/>
    <x v="1"/>
  </r>
  <r>
    <x v="30"/>
    <x v="0"/>
    <s v="ASY"/>
    <n v="160"/>
    <n v="228"/>
    <n v="0"/>
    <s v="LVH"/>
    <n v="138"/>
    <x v="0"/>
    <n v="2.2999999999999998"/>
    <s v="Up"/>
    <x v="0"/>
  </r>
  <r>
    <x v="2"/>
    <x v="1"/>
    <s v="NAP"/>
    <n v="120"/>
    <n v="215"/>
    <n v="0"/>
    <s v="Normal"/>
    <n v="170"/>
    <x v="0"/>
    <n v="0"/>
    <s v="Up"/>
    <x v="0"/>
  </r>
  <r>
    <x v="22"/>
    <x v="0"/>
    <s v="ASY"/>
    <n v="170"/>
    <n v="326"/>
    <n v="0"/>
    <s v="LVH"/>
    <n v="140"/>
    <x v="1"/>
    <n v="3.4"/>
    <s v="Down"/>
    <x v="1"/>
  </r>
  <r>
    <x v="23"/>
    <x v="0"/>
    <s v="ASY"/>
    <n v="144"/>
    <n v="200"/>
    <n v="0"/>
    <s v="LVH"/>
    <n v="126"/>
    <x v="1"/>
    <n v="0.9"/>
    <s v="Flat"/>
    <x v="1"/>
  </r>
  <r>
    <x v="3"/>
    <x v="0"/>
    <s v="ASY"/>
    <n v="130"/>
    <n v="256"/>
    <n v="1"/>
    <s v="LVH"/>
    <n v="150"/>
    <x v="1"/>
    <n v="0"/>
    <s v="Up"/>
    <x v="1"/>
  </r>
  <r>
    <x v="33"/>
    <x v="0"/>
    <s v="ASY"/>
    <n v="140"/>
    <n v="207"/>
    <n v="0"/>
    <s v="LVH"/>
    <n v="138"/>
    <x v="1"/>
    <n v="1.9"/>
    <s v="Up"/>
    <x v="1"/>
  </r>
  <r>
    <x v="22"/>
    <x v="0"/>
    <s v="TA"/>
    <n v="160"/>
    <n v="273"/>
    <n v="0"/>
    <s v="LVH"/>
    <n v="125"/>
    <x v="0"/>
    <n v="0"/>
    <s v="Up"/>
    <x v="1"/>
  </r>
  <r>
    <x v="8"/>
    <x v="0"/>
    <s v="NAP"/>
    <n v="130"/>
    <n v="180"/>
    <n v="0"/>
    <s v="Normal"/>
    <n v="150"/>
    <x v="0"/>
    <n v="0"/>
    <s v="Up"/>
    <x v="0"/>
  </r>
  <r>
    <x v="3"/>
    <x v="0"/>
    <s v="ASY"/>
    <n v="122"/>
    <n v="222"/>
    <n v="0"/>
    <s v="LVH"/>
    <n v="186"/>
    <x v="0"/>
    <n v="0"/>
    <s v="Up"/>
    <x v="0"/>
  </r>
  <r>
    <x v="0"/>
    <x v="0"/>
    <s v="ASY"/>
    <n v="152"/>
    <n v="223"/>
    <n v="0"/>
    <s v="Normal"/>
    <n v="181"/>
    <x v="0"/>
    <n v="0"/>
    <s v="Up"/>
    <x v="1"/>
  </r>
  <r>
    <x v="35"/>
    <x v="1"/>
    <s v="ASY"/>
    <n v="124"/>
    <n v="209"/>
    <n v="0"/>
    <s v="Normal"/>
    <n v="163"/>
    <x v="0"/>
    <n v="0"/>
    <s v="Up"/>
    <x v="0"/>
  </r>
  <r>
    <x v="13"/>
    <x v="0"/>
    <s v="NAP"/>
    <n v="130"/>
    <n v="233"/>
    <n v="0"/>
    <s v="Normal"/>
    <n v="179"/>
    <x v="1"/>
    <n v="0.4"/>
    <s v="Up"/>
    <x v="0"/>
  </r>
  <r>
    <x v="26"/>
    <x v="0"/>
    <s v="ATA"/>
    <n v="101"/>
    <n v="197"/>
    <n v="1"/>
    <s v="Normal"/>
    <n v="156"/>
    <x v="0"/>
    <n v="0"/>
    <s v="Up"/>
    <x v="0"/>
  </r>
  <r>
    <x v="22"/>
    <x v="0"/>
    <s v="NAP"/>
    <n v="126"/>
    <n v="218"/>
    <n v="1"/>
    <s v="Normal"/>
    <n v="134"/>
    <x v="0"/>
    <n v="2.2000000000000002"/>
    <s v="Flat"/>
    <x v="1"/>
  </r>
  <r>
    <x v="7"/>
    <x v="0"/>
    <s v="NAP"/>
    <n v="140"/>
    <n v="211"/>
    <n v="1"/>
    <s v="LVH"/>
    <n v="165"/>
    <x v="0"/>
    <n v="0"/>
    <s v="Up"/>
    <x v="0"/>
  </r>
  <r>
    <x v="1"/>
    <x v="0"/>
    <s v="NAP"/>
    <n v="118"/>
    <n v="149"/>
    <n v="0"/>
    <s v="LVH"/>
    <n v="126"/>
    <x v="0"/>
    <n v="0.8"/>
    <s v="Up"/>
    <x v="1"/>
  </r>
  <r>
    <x v="13"/>
    <x v="0"/>
    <s v="ASY"/>
    <n v="110"/>
    <n v="197"/>
    <n v="0"/>
    <s v="LVH"/>
    <n v="177"/>
    <x v="0"/>
    <n v="0"/>
    <s v="Up"/>
    <x v="1"/>
  </r>
  <r>
    <x v="30"/>
    <x v="0"/>
    <s v="ATA"/>
    <n v="160"/>
    <n v="246"/>
    <n v="0"/>
    <s v="Normal"/>
    <n v="120"/>
    <x v="1"/>
    <n v="0"/>
    <s v="Flat"/>
    <x v="1"/>
  </r>
  <r>
    <x v="20"/>
    <x v="1"/>
    <s v="ASY"/>
    <n v="150"/>
    <n v="225"/>
    <n v="0"/>
    <s v="LVH"/>
    <n v="114"/>
    <x v="0"/>
    <n v="1"/>
    <s v="Flat"/>
    <x v="1"/>
  </r>
  <r>
    <x v="8"/>
    <x v="0"/>
    <s v="ASY"/>
    <n v="136"/>
    <n v="315"/>
    <n v="0"/>
    <s v="Normal"/>
    <n v="125"/>
    <x v="1"/>
    <n v="1.8"/>
    <s v="Flat"/>
    <x v="1"/>
  </r>
  <r>
    <x v="15"/>
    <x v="0"/>
    <s v="ATA"/>
    <n v="128"/>
    <n v="205"/>
    <n v="1"/>
    <s v="Normal"/>
    <n v="184"/>
    <x v="0"/>
    <n v="0"/>
    <s v="Up"/>
    <x v="0"/>
  </r>
  <r>
    <x v="20"/>
    <x v="1"/>
    <s v="NAP"/>
    <n v="140"/>
    <n v="417"/>
    <n v="1"/>
    <s v="LVH"/>
    <n v="157"/>
    <x v="0"/>
    <n v="0.8"/>
    <s v="Up"/>
    <x v="0"/>
  </r>
  <r>
    <x v="29"/>
    <x v="1"/>
    <s v="ATA"/>
    <n v="140"/>
    <n v="195"/>
    <n v="0"/>
    <s v="Normal"/>
    <n v="179"/>
    <x v="0"/>
    <n v="0"/>
    <s v="Up"/>
    <x v="0"/>
  </r>
  <r>
    <x v="6"/>
    <x v="1"/>
    <s v="ATA"/>
    <n v="130"/>
    <n v="234"/>
    <n v="0"/>
    <s v="LVH"/>
    <n v="175"/>
    <x v="0"/>
    <n v="0.6"/>
    <s v="Flat"/>
    <x v="0"/>
  </r>
  <r>
    <x v="18"/>
    <x v="1"/>
    <s v="ATA"/>
    <n v="105"/>
    <n v="198"/>
    <n v="0"/>
    <s v="Normal"/>
    <n v="168"/>
    <x v="0"/>
    <n v="0"/>
    <s v="Up"/>
    <x v="0"/>
  </r>
  <r>
    <x v="33"/>
    <x v="0"/>
    <s v="ASY"/>
    <n v="138"/>
    <n v="166"/>
    <n v="0"/>
    <s v="LVH"/>
    <n v="125"/>
    <x v="1"/>
    <n v="3.6"/>
    <s v="Flat"/>
    <x v="1"/>
  </r>
  <r>
    <x v="11"/>
    <x v="1"/>
    <s v="NAP"/>
    <n v="120"/>
    <n v="178"/>
    <n v="1"/>
    <s v="Normal"/>
    <n v="96"/>
    <x v="0"/>
    <n v="0"/>
    <s v="Up"/>
    <x v="0"/>
  </r>
  <r>
    <x v="22"/>
    <x v="1"/>
    <s v="ASY"/>
    <n v="174"/>
    <n v="249"/>
    <n v="0"/>
    <s v="Normal"/>
    <n v="143"/>
    <x v="1"/>
    <n v="0"/>
    <s v="Flat"/>
    <x v="1"/>
  </r>
  <r>
    <x v="35"/>
    <x v="0"/>
    <s v="ATA"/>
    <n v="120"/>
    <n v="281"/>
    <n v="0"/>
    <s v="LVH"/>
    <n v="103"/>
    <x v="0"/>
    <n v="1.4"/>
    <s v="Flat"/>
    <x v="1"/>
  </r>
  <r>
    <x v="27"/>
    <x v="0"/>
    <s v="NAP"/>
    <n v="150"/>
    <n v="126"/>
    <n v="1"/>
    <s v="Normal"/>
    <n v="173"/>
    <x v="0"/>
    <n v="0.2"/>
    <s v="Up"/>
    <x v="0"/>
  </r>
  <r>
    <x v="16"/>
    <x v="1"/>
    <s v="ASY"/>
    <n v="130"/>
    <n v="305"/>
    <n v="0"/>
    <s v="Normal"/>
    <n v="142"/>
    <x v="1"/>
    <n v="1.2"/>
    <s v="Flat"/>
    <x v="1"/>
  </r>
  <r>
    <x v="13"/>
    <x v="0"/>
    <s v="NAP"/>
    <n v="120"/>
    <n v="226"/>
    <n v="0"/>
    <s v="Normal"/>
    <n v="169"/>
    <x v="0"/>
    <n v="0"/>
    <s v="Up"/>
    <x v="0"/>
  </r>
  <r>
    <x v="11"/>
    <x v="1"/>
    <s v="TA"/>
    <n v="150"/>
    <n v="240"/>
    <n v="0"/>
    <s v="Normal"/>
    <n v="171"/>
    <x v="0"/>
    <n v="0.9"/>
    <s v="Up"/>
    <x v="0"/>
  </r>
  <r>
    <x v="29"/>
    <x v="0"/>
    <s v="TA"/>
    <n v="145"/>
    <n v="233"/>
    <n v="1"/>
    <s v="LVH"/>
    <n v="150"/>
    <x v="0"/>
    <n v="2.2999999999999998"/>
    <s v="Down"/>
    <x v="0"/>
  </r>
  <r>
    <x v="27"/>
    <x v="0"/>
    <s v="ASY"/>
    <n v="150"/>
    <n v="276"/>
    <n v="0"/>
    <s v="LVH"/>
    <n v="112"/>
    <x v="1"/>
    <n v="0.6"/>
    <s v="Flat"/>
    <x v="1"/>
  </r>
  <r>
    <x v="16"/>
    <x v="0"/>
    <s v="ASY"/>
    <n v="140"/>
    <n v="261"/>
    <n v="0"/>
    <s v="LVH"/>
    <n v="186"/>
    <x v="1"/>
    <n v="0"/>
    <s v="Up"/>
    <x v="0"/>
  </r>
  <r>
    <x v="7"/>
    <x v="1"/>
    <s v="ATA"/>
    <n v="136"/>
    <n v="319"/>
    <n v="1"/>
    <s v="LVH"/>
    <n v="152"/>
    <x v="0"/>
    <n v="0"/>
    <s v="Up"/>
    <x v="1"/>
  </r>
  <r>
    <x v="13"/>
    <x v="1"/>
    <s v="NAP"/>
    <n v="118"/>
    <n v="242"/>
    <n v="0"/>
    <s v="Normal"/>
    <n v="149"/>
    <x v="0"/>
    <n v="0.3"/>
    <s v="Flat"/>
    <x v="0"/>
  </r>
  <r>
    <x v="24"/>
    <x v="0"/>
    <s v="NAP"/>
    <n v="108"/>
    <n v="243"/>
    <n v="0"/>
    <s v="Normal"/>
    <n v="152"/>
    <x v="0"/>
    <n v="0"/>
    <s v="Up"/>
    <x v="1"/>
  </r>
  <r>
    <x v="33"/>
    <x v="0"/>
    <s v="ASY"/>
    <n v="120"/>
    <n v="260"/>
    <n v="0"/>
    <s v="Normal"/>
    <n v="140"/>
    <x v="1"/>
    <n v="3.6"/>
    <s v="Flat"/>
    <x v="1"/>
  </r>
  <r>
    <x v="27"/>
    <x v="1"/>
    <s v="ASY"/>
    <n v="120"/>
    <n v="354"/>
    <n v="0"/>
    <s v="Normal"/>
    <n v="163"/>
    <x v="1"/>
    <n v="0.6"/>
    <s v="Up"/>
    <x v="0"/>
  </r>
  <r>
    <x v="45"/>
    <x v="0"/>
    <s v="ATA"/>
    <n v="156"/>
    <n v="245"/>
    <n v="0"/>
    <s v="LVH"/>
    <n v="143"/>
    <x v="0"/>
    <n v="0"/>
    <s v="Up"/>
    <x v="0"/>
  </r>
  <r>
    <x v="48"/>
    <x v="1"/>
    <s v="NAP"/>
    <n v="140"/>
    <n v="197"/>
    <n v="0"/>
    <s v="ST"/>
    <n v="116"/>
    <x v="0"/>
    <n v="1.1000000000000001"/>
    <s v="Flat"/>
    <x v="0"/>
  </r>
  <r>
    <x v="43"/>
    <x v="1"/>
    <s v="ASY"/>
    <n v="106"/>
    <n v="223"/>
    <n v="0"/>
    <s v="Normal"/>
    <n v="142"/>
    <x v="0"/>
    <n v="0.3"/>
    <s v="Up"/>
    <x v="0"/>
  </r>
  <r>
    <x v="6"/>
    <x v="0"/>
    <s v="ASY"/>
    <n v="142"/>
    <n v="309"/>
    <n v="0"/>
    <s v="LVH"/>
    <n v="147"/>
    <x v="1"/>
    <n v="0"/>
    <s v="Flat"/>
    <x v="1"/>
  </r>
  <r>
    <x v="6"/>
    <x v="0"/>
    <s v="ASY"/>
    <n v="104"/>
    <n v="208"/>
    <n v="0"/>
    <s v="LVH"/>
    <n v="148"/>
    <x v="1"/>
    <n v="3"/>
    <s v="Flat"/>
    <x v="0"/>
  </r>
  <r>
    <x v="5"/>
    <x v="1"/>
    <s v="NAP"/>
    <n v="94"/>
    <n v="199"/>
    <n v="0"/>
    <s v="Normal"/>
    <n v="179"/>
    <x v="0"/>
    <n v="0"/>
    <s v="Up"/>
    <x v="0"/>
  </r>
  <r>
    <x v="8"/>
    <x v="1"/>
    <s v="NAP"/>
    <n v="120"/>
    <n v="209"/>
    <n v="0"/>
    <s v="Normal"/>
    <n v="173"/>
    <x v="0"/>
    <n v="0"/>
    <s v="Flat"/>
    <x v="0"/>
  </r>
  <r>
    <x v="17"/>
    <x v="0"/>
    <s v="ATA"/>
    <n v="120"/>
    <n v="236"/>
    <n v="0"/>
    <s v="Normal"/>
    <n v="178"/>
    <x v="0"/>
    <n v="0.8"/>
    <s v="Up"/>
    <x v="0"/>
  </r>
  <r>
    <x v="7"/>
    <x v="0"/>
    <s v="ASY"/>
    <n v="146"/>
    <n v="218"/>
    <n v="0"/>
    <s v="Normal"/>
    <n v="105"/>
    <x v="0"/>
    <n v="2"/>
    <s v="Flat"/>
    <x v="1"/>
  </r>
  <r>
    <x v="21"/>
    <x v="0"/>
    <s v="ASY"/>
    <n v="120"/>
    <n v="198"/>
    <n v="0"/>
    <s v="Normal"/>
    <n v="130"/>
    <x v="1"/>
    <n v="1.6"/>
    <s v="Flat"/>
    <x v="1"/>
  </r>
  <r>
    <x v="7"/>
    <x v="0"/>
    <s v="ASY"/>
    <n v="150"/>
    <n v="270"/>
    <n v="0"/>
    <s v="LVH"/>
    <n v="111"/>
    <x v="1"/>
    <n v="0.8"/>
    <s v="Up"/>
    <x v="1"/>
  </r>
  <r>
    <x v="18"/>
    <x v="0"/>
    <s v="NAP"/>
    <n v="130"/>
    <n v="214"/>
    <n v="0"/>
    <s v="LVH"/>
    <n v="168"/>
    <x v="0"/>
    <n v="2"/>
    <s v="Flat"/>
    <x v="0"/>
  </r>
  <r>
    <x v="27"/>
    <x v="0"/>
    <s v="ASY"/>
    <n v="110"/>
    <n v="201"/>
    <n v="0"/>
    <s v="Normal"/>
    <n v="126"/>
    <x v="1"/>
    <n v="1.5"/>
    <s v="Flat"/>
    <x v="0"/>
  </r>
  <r>
    <x v="8"/>
    <x v="0"/>
    <s v="TA"/>
    <n v="148"/>
    <n v="244"/>
    <n v="0"/>
    <s v="LVH"/>
    <n v="178"/>
    <x v="0"/>
    <n v="0.8"/>
    <s v="Up"/>
    <x v="0"/>
  </r>
  <r>
    <x v="35"/>
    <x v="0"/>
    <s v="ATA"/>
    <n v="128"/>
    <n v="208"/>
    <n v="1"/>
    <s v="LVH"/>
    <n v="140"/>
    <x v="0"/>
    <n v="0"/>
    <s v="Up"/>
    <x v="0"/>
  </r>
  <r>
    <x v="22"/>
    <x v="0"/>
    <s v="TA"/>
    <n v="178"/>
    <n v="270"/>
    <n v="0"/>
    <s v="LVH"/>
    <n v="145"/>
    <x v="0"/>
    <n v="4.2"/>
    <s v="Down"/>
    <x v="0"/>
  </r>
  <r>
    <x v="18"/>
    <x v="1"/>
    <s v="ATA"/>
    <n v="126"/>
    <n v="306"/>
    <n v="0"/>
    <s v="Normal"/>
    <n v="163"/>
    <x v="0"/>
    <n v="0"/>
    <s v="Up"/>
    <x v="0"/>
  </r>
  <r>
    <x v="23"/>
    <x v="0"/>
    <s v="ASY"/>
    <n v="150"/>
    <n v="243"/>
    <n v="0"/>
    <s v="LVH"/>
    <n v="128"/>
    <x v="0"/>
    <n v="2.6"/>
    <s v="Flat"/>
    <x v="1"/>
  </r>
  <r>
    <x v="22"/>
    <x v="0"/>
    <s v="ATA"/>
    <n v="140"/>
    <n v="221"/>
    <n v="0"/>
    <s v="Normal"/>
    <n v="164"/>
    <x v="1"/>
    <n v="0"/>
    <s v="Up"/>
    <x v="0"/>
  </r>
  <r>
    <x v="33"/>
    <x v="1"/>
    <s v="ASY"/>
    <n v="130"/>
    <n v="330"/>
    <n v="0"/>
    <s v="LVH"/>
    <n v="169"/>
    <x v="0"/>
    <n v="0"/>
    <s v="Up"/>
    <x v="1"/>
  </r>
  <r>
    <x v="4"/>
    <x v="0"/>
    <s v="ASY"/>
    <n v="124"/>
    <n v="266"/>
    <n v="0"/>
    <s v="LVH"/>
    <n v="109"/>
    <x v="1"/>
    <n v="2.2000000000000002"/>
    <s v="Flat"/>
    <x v="1"/>
  </r>
  <r>
    <x v="4"/>
    <x v="0"/>
    <s v="ASY"/>
    <n v="110"/>
    <n v="206"/>
    <n v="0"/>
    <s v="LVH"/>
    <n v="108"/>
    <x v="1"/>
    <n v="0"/>
    <s v="Flat"/>
    <x v="1"/>
  </r>
  <r>
    <x v="15"/>
    <x v="0"/>
    <s v="ASY"/>
    <n v="125"/>
    <n v="212"/>
    <n v="0"/>
    <s v="Normal"/>
    <n v="168"/>
    <x v="0"/>
    <n v="1"/>
    <s v="Up"/>
    <x v="1"/>
  </r>
  <r>
    <x v="24"/>
    <x v="0"/>
    <s v="ASY"/>
    <n v="110"/>
    <n v="275"/>
    <n v="0"/>
    <s v="LVH"/>
    <n v="118"/>
    <x v="1"/>
    <n v="1"/>
    <s v="Flat"/>
    <x v="1"/>
  </r>
  <r>
    <x v="30"/>
    <x v="0"/>
    <s v="ASY"/>
    <n v="120"/>
    <n v="302"/>
    <n v="0"/>
    <s v="LVH"/>
    <n v="151"/>
    <x v="0"/>
    <n v="0.4"/>
    <s v="Flat"/>
    <x v="0"/>
  </r>
  <r>
    <x v="7"/>
    <x v="0"/>
    <s v="ASY"/>
    <n v="100"/>
    <n v="234"/>
    <n v="0"/>
    <s v="Normal"/>
    <n v="156"/>
    <x v="0"/>
    <n v="0.1"/>
    <s v="Up"/>
    <x v="1"/>
  </r>
  <r>
    <x v="41"/>
    <x v="1"/>
    <s v="NAP"/>
    <n v="140"/>
    <n v="313"/>
    <n v="0"/>
    <s v="Normal"/>
    <n v="133"/>
    <x v="0"/>
    <n v="0.2"/>
    <s v="Up"/>
    <x v="0"/>
  </r>
  <r>
    <x v="23"/>
    <x v="1"/>
    <s v="ATA"/>
    <n v="120"/>
    <n v="244"/>
    <n v="0"/>
    <s v="Normal"/>
    <n v="162"/>
    <x v="0"/>
    <n v="1.1000000000000001"/>
    <s v="Up"/>
    <x v="0"/>
  </r>
  <r>
    <x v="13"/>
    <x v="1"/>
    <s v="NAP"/>
    <n v="108"/>
    <n v="141"/>
    <n v="0"/>
    <s v="Normal"/>
    <n v="175"/>
    <x v="0"/>
    <n v="0.6"/>
    <s v="Flat"/>
    <x v="0"/>
  </r>
  <r>
    <x v="43"/>
    <x v="0"/>
    <s v="ASY"/>
    <n v="120"/>
    <n v="237"/>
    <n v="0"/>
    <s v="Normal"/>
    <n v="71"/>
    <x v="0"/>
    <n v="1"/>
    <s v="Flat"/>
    <x v="1"/>
  </r>
  <r>
    <x v="1"/>
    <x v="1"/>
    <s v="ASY"/>
    <n v="130"/>
    <n v="269"/>
    <n v="0"/>
    <s v="Normal"/>
    <n v="163"/>
    <x v="0"/>
    <n v="0"/>
    <s v="Up"/>
    <x v="0"/>
  </r>
  <r>
    <x v="27"/>
    <x v="0"/>
    <s v="ASY"/>
    <n v="165"/>
    <n v="289"/>
    <n v="1"/>
    <s v="LVH"/>
    <n v="124"/>
    <x v="0"/>
    <n v="1"/>
    <s v="Flat"/>
    <x v="1"/>
  </r>
  <r>
    <x v="29"/>
    <x v="0"/>
    <s v="ASY"/>
    <n v="130"/>
    <n v="254"/>
    <n v="0"/>
    <s v="LVH"/>
    <n v="147"/>
    <x v="0"/>
    <n v="1.4"/>
    <s v="Flat"/>
    <x v="1"/>
  </r>
  <r>
    <x v="3"/>
    <x v="0"/>
    <s v="ASY"/>
    <n v="124"/>
    <n v="274"/>
    <n v="0"/>
    <s v="LVH"/>
    <n v="166"/>
    <x v="0"/>
    <n v="0.5"/>
    <s v="Flat"/>
    <x v="1"/>
  </r>
  <r>
    <x v="16"/>
    <x v="0"/>
    <s v="NAP"/>
    <n v="100"/>
    <n v="222"/>
    <n v="0"/>
    <s v="Normal"/>
    <n v="143"/>
    <x v="1"/>
    <n v="1.2"/>
    <s v="Flat"/>
    <x v="0"/>
  </r>
  <r>
    <x v="11"/>
    <x v="1"/>
    <s v="ASY"/>
    <n v="150"/>
    <n v="258"/>
    <n v="0"/>
    <s v="LVH"/>
    <n v="157"/>
    <x v="0"/>
    <n v="2.6"/>
    <s v="Flat"/>
    <x v="1"/>
  </r>
  <r>
    <x v="22"/>
    <x v="0"/>
    <s v="ASY"/>
    <n v="140"/>
    <n v="177"/>
    <n v="0"/>
    <s v="Normal"/>
    <n v="162"/>
    <x v="1"/>
    <n v="0"/>
    <s v="Up"/>
    <x v="1"/>
  </r>
  <r>
    <x v="6"/>
    <x v="1"/>
    <s v="ATA"/>
    <n v="112"/>
    <n v="160"/>
    <n v="0"/>
    <s v="Normal"/>
    <n v="138"/>
    <x v="0"/>
    <n v="0"/>
    <s v="Flat"/>
    <x v="0"/>
  </r>
  <r>
    <x v="28"/>
    <x v="1"/>
    <s v="ASY"/>
    <n v="180"/>
    <n v="327"/>
    <n v="0"/>
    <s v="ST"/>
    <n v="117"/>
    <x v="1"/>
    <n v="3.4"/>
    <s v="Flat"/>
    <x v="1"/>
  </r>
  <r>
    <x v="18"/>
    <x v="0"/>
    <s v="ATA"/>
    <n v="110"/>
    <n v="235"/>
    <n v="0"/>
    <s v="Normal"/>
    <n v="153"/>
    <x v="0"/>
    <n v="0"/>
    <s v="Up"/>
    <x v="0"/>
  </r>
  <r>
    <x v="11"/>
    <x v="1"/>
    <s v="ASY"/>
    <n v="158"/>
    <n v="305"/>
    <n v="0"/>
    <s v="LVH"/>
    <n v="161"/>
    <x v="0"/>
    <n v="0"/>
    <s v="Up"/>
    <x v="1"/>
  </r>
  <r>
    <x v="4"/>
    <x v="1"/>
    <s v="NAP"/>
    <n v="135"/>
    <n v="304"/>
    <n v="1"/>
    <s v="Normal"/>
    <n v="170"/>
    <x v="0"/>
    <n v="0"/>
    <s v="Up"/>
    <x v="0"/>
  </r>
  <r>
    <x v="8"/>
    <x v="0"/>
    <s v="ATA"/>
    <n v="120"/>
    <n v="295"/>
    <n v="0"/>
    <s v="Normal"/>
    <n v="162"/>
    <x v="0"/>
    <n v="0"/>
    <s v="Up"/>
    <x v="0"/>
  </r>
  <r>
    <x v="1"/>
    <x v="1"/>
    <s v="ATA"/>
    <n v="134"/>
    <n v="271"/>
    <n v="0"/>
    <s v="Normal"/>
    <n v="162"/>
    <x v="0"/>
    <n v="0"/>
    <s v="Flat"/>
    <x v="0"/>
  </r>
  <r>
    <x v="26"/>
    <x v="0"/>
    <s v="ASY"/>
    <n v="120"/>
    <n v="249"/>
    <n v="0"/>
    <s v="LVH"/>
    <n v="144"/>
    <x v="0"/>
    <n v="0.8"/>
    <s v="Up"/>
    <x v="1"/>
  </r>
  <r>
    <x v="17"/>
    <x v="1"/>
    <s v="ASY"/>
    <n v="200"/>
    <n v="288"/>
    <n v="1"/>
    <s v="LVH"/>
    <n v="133"/>
    <x v="1"/>
    <n v="4"/>
    <s v="Down"/>
    <x v="1"/>
  </r>
  <r>
    <x v="30"/>
    <x v="1"/>
    <s v="TA"/>
    <n v="150"/>
    <n v="226"/>
    <n v="0"/>
    <s v="Normal"/>
    <n v="114"/>
    <x v="0"/>
    <n v="2.6"/>
    <s v="Down"/>
    <x v="0"/>
  </r>
  <r>
    <x v="17"/>
    <x v="0"/>
    <s v="ASY"/>
    <n v="130"/>
    <n v="283"/>
    <n v="1"/>
    <s v="LVH"/>
    <n v="103"/>
    <x v="1"/>
    <n v="1.6"/>
    <s v="Down"/>
    <x v="1"/>
  </r>
  <r>
    <x v="1"/>
    <x v="0"/>
    <s v="NAP"/>
    <n v="120"/>
    <n v="188"/>
    <n v="0"/>
    <s v="Normal"/>
    <n v="139"/>
    <x v="0"/>
    <n v="2"/>
    <s v="Flat"/>
    <x v="1"/>
  </r>
  <r>
    <x v="4"/>
    <x v="0"/>
    <s v="ASY"/>
    <n v="122"/>
    <n v="286"/>
    <n v="0"/>
    <s v="LVH"/>
    <n v="116"/>
    <x v="1"/>
    <n v="3.2"/>
    <s v="Flat"/>
    <x v="1"/>
  </r>
  <r>
    <x v="27"/>
    <x v="0"/>
    <s v="ASY"/>
    <n v="152"/>
    <n v="274"/>
    <n v="0"/>
    <s v="Normal"/>
    <n v="88"/>
    <x v="1"/>
    <n v="1.2"/>
    <s v="Flat"/>
    <x v="1"/>
  </r>
  <r>
    <x v="20"/>
    <x v="1"/>
    <s v="NAP"/>
    <n v="160"/>
    <n v="360"/>
    <n v="0"/>
    <s v="LVH"/>
    <n v="151"/>
    <x v="0"/>
    <n v="0.8"/>
    <s v="Up"/>
    <x v="0"/>
  </r>
  <r>
    <x v="4"/>
    <x v="0"/>
    <s v="NAP"/>
    <n v="125"/>
    <n v="273"/>
    <n v="0"/>
    <s v="LVH"/>
    <n v="152"/>
    <x v="0"/>
    <n v="0.5"/>
    <s v="Down"/>
    <x v="0"/>
  </r>
  <r>
    <x v="4"/>
    <x v="1"/>
    <s v="NAP"/>
    <n v="160"/>
    <n v="201"/>
    <n v="0"/>
    <s v="Normal"/>
    <n v="163"/>
    <x v="0"/>
    <n v="0"/>
    <s v="Up"/>
    <x v="0"/>
  </r>
  <r>
    <x v="35"/>
    <x v="0"/>
    <s v="ASY"/>
    <n v="120"/>
    <n v="267"/>
    <n v="0"/>
    <s v="Normal"/>
    <n v="99"/>
    <x v="1"/>
    <n v="1.8"/>
    <s v="Flat"/>
    <x v="1"/>
  </r>
  <r>
    <x v="15"/>
    <x v="1"/>
    <s v="NAP"/>
    <n v="136"/>
    <n v="196"/>
    <n v="0"/>
    <s v="LVH"/>
    <n v="169"/>
    <x v="0"/>
    <n v="0.1"/>
    <s v="Flat"/>
    <x v="0"/>
  </r>
  <r>
    <x v="15"/>
    <x v="0"/>
    <s v="ATA"/>
    <n v="134"/>
    <n v="201"/>
    <n v="0"/>
    <s v="Normal"/>
    <n v="158"/>
    <x v="0"/>
    <n v="0.8"/>
    <s v="Up"/>
    <x v="0"/>
  </r>
  <r>
    <x v="11"/>
    <x v="0"/>
    <s v="ASY"/>
    <n v="117"/>
    <n v="230"/>
    <n v="1"/>
    <s v="Normal"/>
    <n v="160"/>
    <x v="1"/>
    <n v="1.4"/>
    <s v="Up"/>
    <x v="1"/>
  </r>
  <r>
    <x v="29"/>
    <x v="1"/>
    <s v="ASY"/>
    <n v="108"/>
    <n v="269"/>
    <n v="0"/>
    <s v="Normal"/>
    <n v="169"/>
    <x v="1"/>
    <n v="1.8"/>
    <s v="Flat"/>
    <x v="1"/>
  </r>
  <r>
    <x v="30"/>
    <x v="0"/>
    <s v="ASY"/>
    <n v="112"/>
    <n v="212"/>
    <n v="0"/>
    <s v="LVH"/>
    <n v="132"/>
    <x v="1"/>
    <n v="0.1"/>
    <s v="Up"/>
    <x v="1"/>
  </r>
  <r>
    <x v="8"/>
    <x v="0"/>
    <s v="ASY"/>
    <n v="140"/>
    <n v="226"/>
    <n v="0"/>
    <s v="Normal"/>
    <n v="178"/>
    <x v="0"/>
    <n v="0"/>
    <s v="Up"/>
    <x v="0"/>
  </r>
  <r>
    <x v="41"/>
    <x v="0"/>
    <s v="ASY"/>
    <n v="120"/>
    <n v="246"/>
    <n v="0"/>
    <s v="LVH"/>
    <n v="96"/>
    <x v="1"/>
    <n v="2.2000000000000002"/>
    <s v="Down"/>
    <x v="1"/>
  </r>
  <r>
    <x v="4"/>
    <x v="0"/>
    <s v="NAP"/>
    <n v="150"/>
    <n v="232"/>
    <n v="0"/>
    <s v="LVH"/>
    <n v="165"/>
    <x v="0"/>
    <n v="1.6"/>
    <s v="Up"/>
    <x v="0"/>
  </r>
  <r>
    <x v="26"/>
    <x v="1"/>
    <s v="NAP"/>
    <n v="142"/>
    <n v="177"/>
    <n v="0"/>
    <s v="LVH"/>
    <n v="160"/>
    <x v="1"/>
    <n v="1.4"/>
    <s v="Down"/>
    <x v="0"/>
  </r>
  <r>
    <x v="43"/>
    <x v="1"/>
    <s v="NAP"/>
    <n v="152"/>
    <n v="277"/>
    <n v="0"/>
    <s v="Normal"/>
    <n v="172"/>
    <x v="0"/>
    <n v="0"/>
    <s v="Up"/>
    <x v="0"/>
  </r>
  <r>
    <x v="17"/>
    <x v="0"/>
    <s v="ASY"/>
    <n v="125"/>
    <n v="249"/>
    <n v="1"/>
    <s v="LVH"/>
    <n v="144"/>
    <x v="1"/>
    <n v="1.2"/>
    <s v="Flat"/>
    <x v="1"/>
  </r>
  <r>
    <x v="31"/>
    <x v="1"/>
    <s v="ATA"/>
    <n v="118"/>
    <n v="210"/>
    <n v="0"/>
    <s v="Normal"/>
    <n v="192"/>
    <x v="0"/>
    <n v="0.7"/>
    <s v="Up"/>
    <x v="0"/>
  </r>
  <r>
    <x v="27"/>
    <x v="0"/>
    <s v="ASY"/>
    <n v="132"/>
    <n v="207"/>
    <n v="0"/>
    <s v="Normal"/>
    <n v="168"/>
    <x v="1"/>
    <n v="0"/>
    <s v="Up"/>
    <x v="0"/>
  </r>
  <r>
    <x v="41"/>
    <x v="0"/>
    <s v="ASY"/>
    <n v="145"/>
    <n v="212"/>
    <n v="0"/>
    <s v="LVH"/>
    <n v="132"/>
    <x v="0"/>
    <n v="2"/>
    <s v="Flat"/>
    <x v="1"/>
  </r>
  <r>
    <x v="22"/>
    <x v="0"/>
    <s v="ASY"/>
    <n v="138"/>
    <n v="271"/>
    <n v="0"/>
    <s v="LVH"/>
    <n v="182"/>
    <x v="0"/>
    <n v="0"/>
    <s v="Up"/>
    <x v="0"/>
  </r>
  <r>
    <x v="23"/>
    <x v="0"/>
    <s v="NAP"/>
    <n v="140"/>
    <n v="233"/>
    <n v="0"/>
    <s v="Normal"/>
    <n v="163"/>
    <x v="0"/>
    <n v="0.6"/>
    <s v="Flat"/>
    <x v="1"/>
  </r>
  <r>
    <x v="16"/>
    <x v="0"/>
    <s v="TA"/>
    <n v="125"/>
    <n v="213"/>
    <n v="0"/>
    <s v="LVH"/>
    <n v="125"/>
    <x v="1"/>
    <n v="1.4"/>
    <s v="Up"/>
    <x v="0"/>
  </r>
  <r>
    <x v="4"/>
    <x v="0"/>
    <s v="ATA"/>
    <n v="192"/>
    <n v="283"/>
    <n v="0"/>
    <s v="LVH"/>
    <n v="195"/>
    <x v="0"/>
    <n v="0"/>
    <s v="Up"/>
    <x v="1"/>
  </r>
  <r>
    <x v="14"/>
    <x v="0"/>
    <s v="ASY"/>
    <n v="123"/>
    <n v="282"/>
    <n v="0"/>
    <s v="Normal"/>
    <n v="95"/>
    <x v="1"/>
    <n v="2"/>
    <s v="Flat"/>
    <x v="1"/>
  </r>
  <r>
    <x v="15"/>
    <x v="0"/>
    <s v="ASY"/>
    <n v="112"/>
    <n v="230"/>
    <n v="0"/>
    <s v="Normal"/>
    <n v="160"/>
    <x v="0"/>
    <n v="0"/>
    <s v="Up"/>
    <x v="1"/>
  </r>
  <r>
    <x v="0"/>
    <x v="0"/>
    <s v="ASY"/>
    <n v="110"/>
    <n v="167"/>
    <n v="0"/>
    <s v="LVH"/>
    <n v="114"/>
    <x v="1"/>
    <n v="2"/>
    <s v="Flat"/>
    <x v="1"/>
  </r>
  <r>
    <x v="7"/>
    <x v="0"/>
    <s v="NAP"/>
    <n v="132"/>
    <n v="224"/>
    <n v="0"/>
    <s v="LVH"/>
    <n v="173"/>
    <x v="0"/>
    <n v="3.2"/>
    <s v="Up"/>
    <x v="1"/>
  </r>
  <r>
    <x v="18"/>
    <x v="1"/>
    <s v="NAP"/>
    <n v="112"/>
    <n v="268"/>
    <n v="0"/>
    <s v="LVH"/>
    <n v="172"/>
    <x v="1"/>
    <n v="0"/>
    <s v="Up"/>
    <x v="0"/>
  </r>
  <r>
    <x v="18"/>
    <x v="0"/>
    <s v="NAP"/>
    <n v="112"/>
    <n v="250"/>
    <n v="0"/>
    <s v="Normal"/>
    <n v="179"/>
    <x v="0"/>
    <n v="0"/>
    <s v="Up"/>
    <x v="0"/>
  </r>
  <r>
    <x v="23"/>
    <x v="1"/>
    <s v="NAP"/>
    <n v="120"/>
    <n v="219"/>
    <n v="0"/>
    <s v="Normal"/>
    <n v="158"/>
    <x v="0"/>
    <n v="1.6"/>
    <s v="Flat"/>
    <x v="0"/>
  </r>
  <r>
    <x v="4"/>
    <x v="1"/>
    <s v="NAP"/>
    <n v="108"/>
    <n v="267"/>
    <n v="0"/>
    <s v="LVH"/>
    <n v="167"/>
    <x v="0"/>
    <n v="0"/>
    <s v="Up"/>
    <x v="0"/>
  </r>
  <r>
    <x v="41"/>
    <x v="1"/>
    <s v="ASY"/>
    <n v="130"/>
    <n v="303"/>
    <n v="0"/>
    <s v="Normal"/>
    <n v="122"/>
    <x v="0"/>
    <n v="2"/>
    <s v="Flat"/>
    <x v="0"/>
  </r>
  <r>
    <x v="16"/>
    <x v="1"/>
    <s v="NAP"/>
    <n v="130"/>
    <n v="256"/>
    <n v="0"/>
    <s v="LVH"/>
    <n v="149"/>
    <x v="0"/>
    <n v="0.5"/>
    <s v="Up"/>
    <x v="0"/>
  </r>
  <r>
    <x v="26"/>
    <x v="1"/>
    <s v="ATA"/>
    <n v="105"/>
    <n v="204"/>
    <n v="0"/>
    <s v="Normal"/>
    <n v="172"/>
    <x v="0"/>
    <n v="0"/>
    <s v="Up"/>
    <x v="0"/>
  </r>
  <r>
    <x v="28"/>
    <x v="0"/>
    <s v="ASY"/>
    <n v="140"/>
    <n v="217"/>
    <n v="0"/>
    <s v="Normal"/>
    <n v="111"/>
    <x v="1"/>
    <n v="5.6"/>
    <s v="Down"/>
    <x v="1"/>
  </r>
  <r>
    <x v="6"/>
    <x v="0"/>
    <s v="ATA"/>
    <n v="128"/>
    <n v="308"/>
    <n v="0"/>
    <s v="LVH"/>
    <n v="170"/>
    <x v="0"/>
    <n v="0"/>
    <s v="Up"/>
    <x v="0"/>
  </r>
  <r>
    <x v="17"/>
    <x v="0"/>
    <s v="TA"/>
    <n v="120"/>
    <n v="193"/>
    <n v="0"/>
    <s v="LVH"/>
    <n v="162"/>
    <x v="0"/>
    <n v="1.9"/>
    <s v="Flat"/>
    <x v="0"/>
  </r>
  <r>
    <x v="30"/>
    <x v="1"/>
    <s v="ASY"/>
    <n v="178"/>
    <n v="228"/>
    <n v="1"/>
    <s v="Normal"/>
    <n v="165"/>
    <x v="1"/>
    <n v="1"/>
    <s v="Flat"/>
    <x v="1"/>
  </r>
  <r>
    <x v="9"/>
    <x v="0"/>
    <s v="TA"/>
    <n v="120"/>
    <n v="231"/>
    <n v="0"/>
    <s v="Normal"/>
    <n v="182"/>
    <x v="1"/>
    <n v="3.8"/>
    <s v="Flat"/>
    <x v="1"/>
  </r>
  <r>
    <x v="35"/>
    <x v="1"/>
    <s v="ASY"/>
    <n v="150"/>
    <n v="244"/>
    <n v="0"/>
    <s v="Normal"/>
    <n v="154"/>
    <x v="1"/>
    <n v="1.4"/>
    <s v="Flat"/>
    <x v="1"/>
  </r>
  <r>
    <x v="28"/>
    <x v="0"/>
    <s v="ATA"/>
    <n v="130"/>
    <n v="262"/>
    <n v="0"/>
    <s v="Normal"/>
    <n v="155"/>
    <x v="0"/>
    <n v="0"/>
    <s v="Up"/>
    <x v="0"/>
  </r>
  <r>
    <x v="7"/>
    <x v="0"/>
    <s v="ASY"/>
    <n v="128"/>
    <n v="259"/>
    <n v="0"/>
    <s v="LVH"/>
    <n v="130"/>
    <x v="1"/>
    <n v="3"/>
    <s v="Flat"/>
    <x v="1"/>
  </r>
  <r>
    <x v="10"/>
    <x v="0"/>
    <s v="ASY"/>
    <n v="110"/>
    <n v="211"/>
    <n v="0"/>
    <s v="Normal"/>
    <n v="161"/>
    <x v="0"/>
    <n v="0"/>
    <s v="Up"/>
    <x v="0"/>
  </r>
  <r>
    <x v="41"/>
    <x v="1"/>
    <s v="ASY"/>
    <n v="180"/>
    <n v="325"/>
    <n v="0"/>
    <s v="Normal"/>
    <n v="154"/>
    <x v="1"/>
    <n v="0"/>
    <s v="Up"/>
    <x v="0"/>
  </r>
  <r>
    <x v="23"/>
    <x v="1"/>
    <s v="ASY"/>
    <n v="110"/>
    <n v="254"/>
    <n v="0"/>
    <s v="LVH"/>
    <n v="159"/>
    <x v="0"/>
    <n v="0"/>
    <s v="Up"/>
    <x v="0"/>
  </r>
  <r>
    <x v="14"/>
    <x v="0"/>
    <s v="NAP"/>
    <n v="130"/>
    <n v="197"/>
    <n v="1"/>
    <s v="LVH"/>
    <n v="152"/>
    <x v="0"/>
    <n v="1.2"/>
    <s v="Down"/>
    <x v="0"/>
  </r>
  <r>
    <x v="6"/>
    <x v="1"/>
    <s v="ASY"/>
    <n v="138"/>
    <n v="236"/>
    <n v="0"/>
    <s v="LVH"/>
    <n v="152"/>
    <x v="1"/>
    <n v="0.2"/>
    <s v="Flat"/>
    <x v="0"/>
  </r>
  <r>
    <x v="20"/>
    <x v="0"/>
    <s v="TA"/>
    <n v="138"/>
    <n v="282"/>
    <n v="1"/>
    <s v="LVH"/>
    <n v="174"/>
    <x v="0"/>
    <n v="1.4"/>
    <s v="Flat"/>
    <x v="1"/>
  </r>
  <r>
    <x v="42"/>
    <x v="0"/>
    <s v="TA"/>
    <n v="160"/>
    <n v="234"/>
    <n v="1"/>
    <s v="LVH"/>
    <n v="131"/>
    <x v="0"/>
    <n v="0.1"/>
    <s v="Flat"/>
    <x v="0"/>
  </r>
  <r>
    <x v="42"/>
    <x v="0"/>
    <s v="NAP"/>
    <n v="140"/>
    <n v="254"/>
    <n v="0"/>
    <s v="LVH"/>
    <n v="146"/>
    <x v="0"/>
    <n v="2"/>
    <s v="Flat"/>
    <x v="1"/>
  </r>
  <r>
    <x v="43"/>
    <x v="0"/>
    <s v="ASY"/>
    <n v="100"/>
    <n v="299"/>
    <n v="0"/>
    <s v="LVH"/>
    <n v="125"/>
    <x v="1"/>
    <n v="0.9"/>
    <s v="Flat"/>
    <x v="1"/>
  </r>
  <r>
    <x v="39"/>
    <x v="1"/>
    <s v="NAP"/>
    <n v="120"/>
    <n v="211"/>
    <n v="0"/>
    <s v="LVH"/>
    <n v="115"/>
    <x v="0"/>
    <n v="1.5"/>
    <s v="Flat"/>
    <x v="0"/>
  </r>
  <r>
    <x v="31"/>
    <x v="0"/>
    <s v="TA"/>
    <n v="118"/>
    <n v="182"/>
    <n v="0"/>
    <s v="LVH"/>
    <n v="174"/>
    <x v="0"/>
    <n v="0"/>
    <s v="Up"/>
    <x v="0"/>
  </r>
  <r>
    <x v="35"/>
    <x v="1"/>
    <s v="ASY"/>
    <n v="138"/>
    <n v="294"/>
    <n v="1"/>
    <s v="Normal"/>
    <n v="106"/>
    <x v="0"/>
    <n v="1.9"/>
    <s v="Flat"/>
    <x v="1"/>
  </r>
  <r>
    <x v="16"/>
    <x v="0"/>
    <s v="ASY"/>
    <n v="140"/>
    <n v="298"/>
    <n v="0"/>
    <s v="Normal"/>
    <n v="122"/>
    <x v="1"/>
    <n v="4.2"/>
    <s v="Flat"/>
    <x v="1"/>
  </r>
  <r>
    <x v="26"/>
    <x v="0"/>
    <s v="NAP"/>
    <n v="150"/>
    <n v="231"/>
    <n v="0"/>
    <s v="Normal"/>
    <n v="147"/>
    <x v="0"/>
    <n v="3.6"/>
    <s v="Flat"/>
    <x v="1"/>
  </r>
  <r>
    <x v="43"/>
    <x v="0"/>
    <s v="ASY"/>
    <n v="125"/>
    <n v="254"/>
    <n v="1"/>
    <s v="Normal"/>
    <n v="163"/>
    <x v="0"/>
    <n v="0.2"/>
    <s v="Flat"/>
    <x v="1"/>
  </r>
  <r>
    <x v="23"/>
    <x v="0"/>
    <s v="NAP"/>
    <n v="129"/>
    <n v="196"/>
    <n v="0"/>
    <s v="Normal"/>
    <n v="163"/>
    <x v="0"/>
    <n v="0"/>
    <s v="Up"/>
    <x v="0"/>
  </r>
  <r>
    <x v="8"/>
    <x v="0"/>
    <s v="NAP"/>
    <n v="120"/>
    <n v="240"/>
    <n v="1"/>
    <s v="Normal"/>
    <n v="194"/>
    <x v="0"/>
    <n v="0.8"/>
    <s v="Down"/>
    <x v="0"/>
  </r>
  <r>
    <x v="17"/>
    <x v="1"/>
    <s v="ASY"/>
    <n v="134"/>
    <n v="409"/>
    <n v="0"/>
    <s v="LVH"/>
    <n v="150"/>
    <x v="1"/>
    <n v="1.9"/>
    <s v="Flat"/>
    <x v="1"/>
  </r>
  <r>
    <x v="18"/>
    <x v="0"/>
    <s v="ASY"/>
    <n v="110"/>
    <n v="172"/>
    <n v="0"/>
    <s v="LVH"/>
    <n v="158"/>
    <x v="0"/>
    <n v="0"/>
    <s v="Up"/>
    <x v="1"/>
  </r>
  <r>
    <x v="8"/>
    <x v="1"/>
    <s v="ASY"/>
    <n v="102"/>
    <n v="265"/>
    <n v="0"/>
    <s v="LVH"/>
    <n v="122"/>
    <x v="0"/>
    <n v="0.6"/>
    <s v="Flat"/>
    <x v="0"/>
  </r>
  <r>
    <x v="14"/>
    <x v="0"/>
    <s v="NAP"/>
    <n v="130"/>
    <n v="246"/>
    <n v="1"/>
    <s v="LVH"/>
    <n v="173"/>
    <x v="0"/>
    <n v="0"/>
    <s v="Up"/>
    <x v="0"/>
  </r>
  <r>
    <x v="10"/>
    <x v="0"/>
    <s v="NAP"/>
    <n v="130"/>
    <n v="315"/>
    <n v="0"/>
    <s v="Normal"/>
    <n v="162"/>
    <x v="0"/>
    <n v="1.9"/>
    <s v="Up"/>
    <x v="0"/>
  </r>
  <r>
    <x v="17"/>
    <x v="0"/>
    <s v="ASY"/>
    <n v="132"/>
    <n v="184"/>
    <n v="0"/>
    <s v="LVH"/>
    <n v="105"/>
    <x v="1"/>
    <n v="2.1"/>
    <s v="Flat"/>
    <x v="1"/>
  </r>
  <r>
    <x v="15"/>
    <x v="0"/>
    <s v="ASY"/>
    <n v="108"/>
    <n v="233"/>
    <n v="1"/>
    <s v="Normal"/>
    <n v="147"/>
    <x v="0"/>
    <n v="0.1"/>
    <s v="Up"/>
    <x v="0"/>
  </r>
  <r>
    <x v="35"/>
    <x v="1"/>
    <s v="ASY"/>
    <n v="140"/>
    <n v="394"/>
    <n v="0"/>
    <s v="LVH"/>
    <n v="157"/>
    <x v="0"/>
    <n v="1.2"/>
    <s v="Flat"/>
    <x v="0"/>
  </r>
  <r>
    <x v="45"/>
    <x v="0"/>
    <s v="NAP"/>
    <n v="160"/>
    <n v="269"/>
    <n v="0"/>
    <s v="Normal"/>
    <n v="112"/>
    <x v="1"/>
    <n v="2.9"/>
    <s v="Flat"/>
    <x v="1"/>
  </r>
  <r>
    <x v="4"/>
    <x v="0"/>
    <s v="ASY"/>
    <n v="140"/>
    <n v="239"/>
    <n v="0"/>
    <s v="Normal"/>
    <n v="160"/>
    <x v="0"/>
    <n v="1.2"/>
    <s v="Up"/>
    <x v="0"/>
  </r>
  <r>
    <x v="45"/>
    <x v="0"/>
    <s v="ASY"/>
    <n v="145"/>
    <n v="174"/>
    <n v="0"/>
    <s v="Normal"/>
    <n v="125"/>
    <x v="1"/>
    <n v="2.6"/>
    <s v="Down"/>
    <x v="1"/>
  </r>
  <r>
    <x v="4"/>
    <x v="0"/>
    <s v="ATA"/>
    <n v="108"/>
    <n v="309"/>
    <n v="0"/>
    <s v="Normal"/>
    <n v="156"/>
    <x v="0"/>
    <n v="0"/>
    <s v="Up"/>
    <x v="0"/>
  </r>
  <r>
    <x v="21"/>
    <x v="0"/>
    <s v="ASY"/>
    <n v="126"/>
    <n v="282"/>
    <n v="0"/>
    <s v="LVH"/>
    <n v="156"/>
    <x v="1"/>
    <n v="0"/>
    <s v="Up"/>
    <x v="1"/>
  </r>
  <r>
    <x v="3"/>
    <x v="0"/>
    <s v="NAP"/>
    <n v="124"/>
    <n v="255"/>
    <n v="1"/>
    <s v="Normal"/>
    <n v="175"/>
    <x v="0"/>
    <n v="0"/>
    <s v="Up"/>
    <x v="0"/>
  </r>
  <r>
    <x v="28"/>
    <x v="1"/>
    <s v="ATA"/>
    <n v="135"/>
    <n v="250"/>
    <n v="0"/>
    <s v="LVH"/>
    <n v="161"/>
    <x v="0"/>
    <n v="1.4"/>
    <s v="Flat"/>
    <x v="0"/>
  </r>
  <r>
    <x v="7"/>
    <x v="1"/>
    <s v="ASY"/>
    <n v="100"/>
    <n v="248"/>
    <n v="0"/>
    <s v="LVH"/>
    <n v="122"/>
    <x v="0"/>
    <n v="1"/>
    <s v="Flat"/>
    <x v="0"/>
  </r>
  <r>
    <x v="4"/>
    <x v="1"/>
    <s v="NAP"/>
    <n v="110"/>
    <n v="214"/>
    <n v="0"/>
    <s v="Normal"/>
    <n v="158"/>
    <x v="0"/>
    <n v="1.6"/>
    <s v="Flat"/>
    <x v="0"/>
  </r>
  <r>
    <x v="42"/>
    <x v="1"/>
    <s v="TA"/>
    <n v="140"/>
    <n v="239"/>
    <n v="0"/>
    <s v="Normal"/>
    <n v="151"/>
    <x v="0"/>
    <n v="1.8"/>
    <s v="Up"/>
    <x v="0"/>
  </r>
  <r>
    <x v="46"/>
    <x v="0"/>
    <s v="ASY"/>
    <n v="125"/>
    <n v="304"/>
    <n v="0"/>
    <s v="LVH"/>
    <n v="162"/>
    <x v="1"/>
    <n v="0"/>
    <s v="Up"/>
    <x v="1"/>
  </r>
  <r>
    <x v="39"/>
    <x v="0"/>
    <s v="NAP"/>
    <n v="118"/>
    <n v="277"/>
    <n v="0"/>
    <s v="Normal"/>
    <n v="151"/>
    <x v="0"/>
    <n v="1"/>
    <s v="Up"/>
    <x v="0"/>
  </r>
  <r>
    <x v="7"/>
    <x v="0"/>
    <s v="ASY"/>
    <n v="125"/>
    <n v="300"/>
    <n v="0"/>
    <s v="LVH"/>
    <n v="171"/>
    <x v="0"/>
    <n v="0"/>
    <s v="Up"/>
    <x v="1"/>
  </r>
  <r>
    <x v="11"/>
    <x v="0"/>
    <s v="ASY"/>
    <n v="125"/>
    <n v="258"/>
    <n v="0"/>
    <s v="LVH"/>
    <n v="141"/>
    <x v="1"/>
    <n v="2.8"/>
    <s v="Flat"/>
    <x v="1"/>
  </r>
  <r>
    <x v="16"/>
    <x v="0"/>
    <s v="ASY"/>
    <n v="140"/>
    <n v="299"/>
    <n v="0"/>
    <s v="Normal"/>
    <n v="173"/>
    <x v="1"/>
    <n v="1.6"/>
    <s v="Up"/>
    <x v="1"/>
  </r>
  <r>
    <x v="28"/>
    <x v="0"/>
    <s v="ASY"/>
    <n v="160"/>
    <n v="289"/>
    <n v="0"/>
    <s v="LVH"/>
    <n v="145"/>
    <x v="1"/>
    <n v="0.8"/>
    <s v="Flat"/>
    <x v="1"/>
  </r>
  <r>
    <x v="15"/>
    <x v="0"/>
    <s v="TA"/>
    <n v="152"/>
    <n v="298"/>
    <n v="1"/>
    <s v="Normal"/>
    <n v="178"/>
    <x v="0"/>
    <n v="1.2"/>
    <s v="Flat"/>
    <x v="0"/>
  </r>
  <r>
    <x v="11"/>
    <x v="1"/>
    <s v="NAP"/>
    <n v="102"/>
    <n v="318"/>
    <n v="0"/>
    <s v="Normal"/>
    <n v="160"/>
    <x v="0"/>
    <n v="0"/>
    <s v="Up"/>
    <x v="0"/>
  </r>
  <r>
    <x v="7"/>
    <x v="0"/>
    <s v="NAP"/>
    <n v="105"/>
    <n v="240"/>
    <n v="0"/>
    <s v="LVH"/>
    <n v="154"/>
    <x v="1"/>
    <n v="0.6"/>
    <s v="Flat"/>
    <x v="0"/>
  </r>
  <r>
    <x v="41"/>
    <x v="0"/>
    <s v="NAP"/>
    <n v="125"/>
    <n v="309"/>
    <n v="0"/>
    <s v="Normal"/>
    <n v="131"/>
    <x v="1"/>
    <n v="1.8"/>
    <s v="Flat"/>
    <x v="1"/>
  </r>
  <r>
    <x v="2"/>
    <x v="0"/>
    <s v="NAP"/>
    <n v="130"/>
    <n v="250"/>
    <n v="0"/>
    <s v="Normal"/>
    <n v="187"/>
    <x v="0"/>
    <n v="3.5"/>
    <s v="Down"/>
    <x v="0"/>
  </r>
  <r>
    <x v="22"/>
    <x v="0"/>
    <s v="TA"/>
    <n v="170"/>
    <n v="288"/>
    <n v="0"/>
    <s v="LVH"/>
    <n v="159"/>
    <x v="0"/>
    <n v="0.2"/>
    <s v="Flat"/>
    <x v="1"/>
  </r>
  <r>
    <x v="16"/>
    <x v="0"/>
    <s v="NAP"/>
    <n v="125"/>
    <n v="245"/>
    <n v="1"/>
    <s v="LVH"/>
    <n v="166"/>
    <x v="0"/>
    <n v="2.4"/>
    <s v="Flat"/>
    <x v="0"/>
  </r>
  <r>
    <x v="10"/>
    <x v="1"/>
    <s v="NAP"/>
    <n v="122"/>
    <n v="213"/>
    <n v="0"/>
    <s v="Normal"/>
    <n v="165"/>
    <x v="0"/>
    <n v="0.2"/>
    <s v="Flat"/>
    <x v="0"/>
  </r>
  <r>
    <x v="7"/>
    <x v="0"/>
    <s v="ASY"/>
    <n v="128"/>
    <n v="216"/>
    <n v="0"/>
    <s v="LVH"/>
    <n v="131"/>
    <x v="1"/>
    <n v="2.2000000000000002"/>
    <s v="Flat"/>
    <x v="1"/>
  </r>
  <r>
    <x v="34"/>
    <x v="0"/>
    <s v="ATA"/>
    <n v="130"/>
    <n v="204"/>
    <n v="0"/>
    <s v="LVH"/>
    <n v="202"/>
    <x v="0"/>
    <n v="0"/>
    <s v="Up"/>
    <x v="0"/>
  </r>
  <r>
    <x v="18"/>
    <x v="1"/>
    <s v="ATA"/>
    <n v="130"/>
    <n v="204"/>
    <n v="0"/>
    <s v="LVH"/>
    <n v="172"/>
    <x v="0"/>
    <n v="1.4"/>
    <s v="Up"/>
    <x v="0"/>
  </r>
  <r>
    <x v="29"/>
    <x v="1"/>
    <s v="NAP"/>
    <n v="135"/>
    <n v="252"/>
    <n v="0"/>
    <s v="LVH"/>
    <n v="172"/>
    <x v="0"/>
    <n v="0"/>
    <s v="Up"/>
    <x v="0"/>
  </r>
  <r>
    <x v="16"/>
    <x v="0"/>
    <s v="NAP"/>
    <n v="94"/>
    <n v="227"/>
    <n v="0"/>
    <s v="Normal"/>
    <n v="154"/>
    <x v="1"/>
    <n v="0"/>
    <s v="Up"/>
    <x v="0"/>
  </r>
  <r>
    <x v="4"/>
    <x v="0"/>
    <s v="NAP"/>
    <n v="120"/>
    <n v="258"/>
    <n v="0"/>
    <s v="LVH"/>
    <n v="147"/>
    <x v="0"/>
    <n v="0.4"/>
    <s v="Flat"/>
    <x v="0"/>
  </r>
  <r>
    <x v="13"/>
    <x v="0"/>
    <s v="ATA"/>
    <n v="120"/>
    <n v="220"/>
    <n v="0"/>
    <s v="Normal"/>
    <n v="170"/>
    <x v="0"/>
    <n v="0"/>
    <s v="Up"/>
    <x v="0"/>
  </r>
  <r>
    <x v="4"/>
    <x v="0"/>
    <s v="ASY"/>
    <n v="110"/>
    <n v="239"/>
    <n v="0"/>
    <s v="Normal"/>
    <n v="126"/>
    <x v="1"/>
    <n v="2.8"/>
    <s v="Flat"/>
    <x v="1"/>
  </r>
  <r>
    <x v="20"/>
    <x v="0"/>
    <s v="ASY"/>
    <n v="135"/>
    <n v="254"/>
    <n v="0"/>
    <s v="LVH"/>
    <n v="127"/>
    <x v="0"/>
    <n v="2.8"/>
    <s v="Flat"/>
    <x v="1"/>
  </r>
  <r>
    <x v="27"/>
    <x v="0"/>
    <s v="NAP"/>
    <n v="150"/>
    <n v="168"/>
    <n v="0"/>
    <s v="Normal"/>
    <n v="174"/>
    <x v="0"/>
    <n v="1.6"/>
    <s v="Up"/>
    <x v="0"/>
  </r>
  <r>
    <x v="29"/>
    <x v="0"/>
    <s v="ASY"/>
    <n v="130"/>
    <n v="330"/>
    <n v="1"/>
    <s v="LVH"/>
    <n v="132"/>
    <x v="1"/>
    <n v="1.8"/>
    <s v="Up"/>
    <x v="1"/>
  </r>
  <r>
    <x v="21"/>
    <x v="1"/>
    <s v="ASY"/>
    <n v="138"/>
    <n v="183"/>
    <n v="0"/>
    <s v="Normal"/>
    <n v="182"/>
    <x v="0"/>
    <n v="1.4"/>
    <s v="Up"/>
    <x v="0"/>
  </r>
  <r>
    <x v="18"/>
    <x v="0"/>
    <s v="ATA"/>
    <n v="135"/>
    <n v="203"/>
    <n v="0"/>
    <s v="Normal"/>
    <n v="132"/>
    <x v="0"/>
    <n v="0"/>
    <s v="Flat"/>
    <x v="0"/>
  </r>
  <r>
    <x v="35"/>
    <x v="1"/>
    <s v="NAP"/>
    <n v="130"/>
    <n v="263"/>
    <n v="0"/>
    <s v="Normal"/>
    <n v="97"/>
    <x v="0"/>
    <n v="1.2"/>
    <s v="Flat"/>
    <x v="1"/>
  </r>
  <r>
    <x v="10"/>
    <x v="1"/>
    <s v="ASY"/>
    <n v="132"/>
    <n v="341"/>
    <n v="1"/>
    <s v="LVH"/>
    <n v="136"/>
    <x v="1"/>
    <n v="3"/>
    <s v="Flat"/>
    <x v="1"/>
  </r>
  <r>
    <x v="7"/>
    <x v="1"/>
    <s v="TA"/>
    <n v="150"/>
    <n v="283"/>
    <n v="1"/>
    <s v="LVH"/>
    <n v="162"/>
    <x v="0"/>
    <n v="1"/>
    <s v="Up"/>
    <x v="0"/>
  </r>
  <r>
    <x v="15"/>
    <x v="0"/>
    <s v="TA"/>
    <n v="118"/>
    <n v="186"/>
    <n v="0"/>
    <s v="LVH"/>
    <n v="190"/>
    <x v="0"/>
    <n v="0"/>
    <s v="Flat"/>
    <x v="0"/>
  </r>
  <r>
    <x v="33"/>
    <x v="1"/>
    <s v="ASY"/>
    <n v="145"/>
    <n v="307"/>
    <n v="0"/>
    <s v="LVH"/>
    <n v="146"/>
    <x v="1"/>
    <n v="1"/>
    <s v="Flat"/>
    <x v="1"/>
  </r>
  <r>
    <x v="5"/>
    <x v="0"/>
    <s v="ASY"/>
    <n v="118"/>
    <n v="219"/>
    <n v="0"/>
    <s v="Normal"/>
    <n v="140"/>
    <x v="0"/>
    <n v="1.2"/>
    <s v="Flat"/>
    <x v="1"/>
  </r>
  <r>
    <x v="6"/>
    <x v="0"/>
    <s v="ASY"/>
    <n v="115"/>
    <n v="260"/>
    <n v="0"/>
    <s v="LVH"/>
    <n v="185"/>
    <x v="0"/>
    <n v="0"/>
    <s v="Up"/>
    <x v="0"/>
  </r>
  <r>
    <x v="15"/>
    <x v="0"/>
    <s v="ASY"/>
    <n v="128"/>
    <n v="255"/>
    <n v="0"/>
    <s v="Normal"/>
    <n v="161"/>
    <x v="1"/>
    <n v="0"/>
    <s v="Up"/>
    <x v="1"/>
  </r>
  <r>
    <x v="35"/>
    <x v="0"/>
    <s v="NAP"/>
    <n v="130"/>
    <n v="231"/>
    <n v="0"/>
    <s v="Normal"/>
    <n v="146"/>
    <x v="0"/>
    <n v="1.8"/>
    <s v="Flat"/>
    <x v="0"/>
  </r>
  <r>
    <x v="35"/>
    <x v="1"/>
    <s v="ASY"/>
    <n v="160"/>
    <n v="164"/>
    <n v="0"/>
    <s v="LVH"/>
    <n v="145"/>
    <x v="0"/>
    <n v="6.2"/>
    <s v="Down"/>
    <x v="1"/>
  </r>
  <r>
    <x v="14"/>
    <x v="1"/>
    <s v="ASY"/>
    <n v="138"/>
    <n v="234"/>
    <n v="0"/>
    <s v="LVH"/>
    <n v="160"/>
    <x v="0"/>
    <n v="0"/>
    <s v="Up"/>
    <x v="0"/>
  </r>
  <r>
    <x v="10"/>
    <x v="0"/>
    <s v="ASY"/>
    <n v="120"/>
    <n v="177"/>
    <n v="0"/>
    <s v="LVH"/>
    <n v="120"/>
    <x v="1"/>
    <n v="2.5"/>
    <s v="Flat"/>
    <x v="1"/>
  </r>
  <r>
    <x v="24"/>
    <x v="0"/>
    <s v="NAP"/>
    <n v="138"/>
    <n v="257"/>
    <n v="0"/>
    <s v="LVH"/>
    <n v="156"/>
    <x v="0"/>
    <n v="0"/>
    <s v="Up"/>
    <x v="0"/>
  </r>
  <r>
    <x v="15"/>
    <x v="0"/>
    <s v="ATA"/>
    <n v="120"/>
    <n v="325"/>
    <n v="0"/>
    <s v="Normal"/>
    <n v="172"/>
    <x v="0"/>
    <n v="0.2"/>
    <s v="Up"/>
    <x v="0"/>
  </r>
  <r>
    <x v="39"/>
    <x v="0"/>
    <s v="NAP"/>
    <n v="180"/>
    <n v="274"/>
    <n v="1"/>
    <s v="LVH"/>
    <n v="150"/>
    <x v="1"/>
    <n v="1.6"/>
    <s v="Flat"/>
    <x v="1"/>
  </r>
  <r>
    <x v="5"/>
    <x v="0"/>
    <s v="NAP"/>
    <n v="140"/>
    <n v="321"/>
    <n v="0"/>
    <s v="LVH"/>
    <n v="182"/>
    <x v="0"/>
    <n v="0"/>
    <s v="Up"/>
    <x v="0"/>
  </r>
  <r>
    <x v="14"/>
    <x v="1"/>
    <s v="ASY"/>
    <n v="130"/>
    <n v="264"/>
    <n v="0"/>
    <s v="LVH"/>
    <n v="143"/>
    <x v="0"/>
    <n v="0.4"/>
    <s v="Flat"/>
    <x v="0"/>
  </r>
  <r>
    <x v="35"/>
    <x v="1"/>
    <s v="ASY"/>
    <n v="140"/>
    <n v="268"/>
    <n v="0"/>
    <s v="LVH"/>
    <n v="160"/>
    <x v="0"/>
    <n v="3.6"/>
    <s v="Down"/>
    <x v="1"/>
  </r>
  <r>
    <x v="16"/>
    <x v="1"/>
    <s v="NAP"/>
    <n v="140"/>
    <n v="308"/>
    <n v="0"/>
    <s v="LVH"/>
    <n v="142"/>
    <x v="0"/>
    <n v="1.5"/>
    <s v="Up"/>
    <x v="0"/>
  </r>
  <r>
    <x v="11"/>
    <x v="0"/>
    <s v="ASY"/>
    <n v="130"/>
    <n v="253"/>
    <n v="0"/>
    <s v="Normal"/>
    <n v="144"/>
    <x v="1"/>
    <n v="1.4"/>
    <s v="Up"/>
    <x v="1"/>
  </r>
  <r>
    <x v="20"/>
    <x v="0"/>
    <s v="ASY"/>
    <n v="110"/>
    <n v="248"/>
    <n v="0"/>
    <s v="LVH"/>
    <n v="158"/>
    <x v="0"/>
    <n v="0.6"/>
    <s v="Up"/>
    <x v="1"/>
  </r>
  <r>
    <x v="20"/>
    <x v="1"/>
    <s v="NAP"/>
    <n v="155"/>
    <n v="269"/>
    <n v="0"/>
    <s v="Normal"/>
    <n v="148"/>
    <x v="0"/>
    <n v="0.8"/>
    <s v="Up"/>
    <x v="0"/>
  </r>
  <r>
    <x v="11"/>
    <x v="0"/>
    <s v="NAP"/>
    <n v="140"/>
    <n v="185"/>
    <n v="0"/>
    <s v="LVH"/>
    <n v="155"/>
    <x v="0"/>
    <n v="3"/>
    <s v="Flat"/>
    <x v="1"/>
  </r>
  <r>
    <x v="11"/>
    <x v="0"/>
    <s v="ASY"/>
    <n v="145"/>
    <n v="282"/>
    <n v="0"/>
    <s v="LVH"/>
    <n v="142"/>
    <x v="1"/>
    <n v="2.8"/>
    <s v="Flat"/>
    <x v="1"/>
  </r>
  <r>
    <x v="4"/>
    <x v="0"/>
    <s v="ASY"/>
    <n v="120"/>
    <n v="188"/>
    <n v="0"/>
    <s v="Normal"/>
    <n v="113"/>
    <x v="0"/>
    <n v="1.4"/>
    <s v="Flat"/>
    <x v="1"/>
  </r>
  <r>
    <x v="13"/>
    <x v="0"/>
    <s v="ATA"/>
    <n v="130"/>
    <n v="219"/>
    <n v="0"/>
    <s v="LVH"/>
    <n v="188"/>
    <x v="0"/>
    <n v="0"/>
    <s v="Up"/>
    <x v="0"/>
  </r>
  <r>
    <x v="13"/>
    <x v="0"/>
    <s v="ASY"/>
    <n v="112"/>
    <n v="290"/>
    <n v="0"/>
    <s v="LVH"/>
    <n v="153"/>
    <x v="0"/>
    <n v="0"/>
    <s v="Up"/>
    <x v="1"/>
  </r>
  <r>
    <x v="16"/>
    <x v="0"/>
    <s v="NAP"/>
    <n v="110"/>
    <n v="175"/>
    <n v="0"/>
    <s v="Normal"/>
    <n v="123"/>
    <x v="0"/>
    <n v="0.6"/>
    <s v="Up"/>
    <x v="0"/>
  </r>
  <r>
    <x v="22"/>
    <x v="0"/>
    <s v="NAP"/>
    <n v="150"/>
    <n v="212"/>
    <n v="1"/>
    <s v="Normal"/>
    <n v="157"/>
    <x v="0"/>
    <n v="1.6"/>
    <s v="Up"/>
    <x v="0"/>
  </r>
  <r>
    <x v="49"/>
    <x v="1"/>
    <s v="ATA"/>
    <n v="160"/>
    <n v="302"/>
    <n v="0"/>
    <s v="Normal"/>
    <n v="162"/>
    <x v="0"/>
    <n v="0.4"/>
    <s v="Up"/>
    <x v="0"/>
  </r>
  <r>
    <x v="33"/>
    <x v="0"/>
    <s v="NAP"/>
    <n v="150"/>
    <n v="243"/>
    <n v="1"/>
    <s v="Normal"/>
    <n v="137"/>
    <x v="1"/>
    <n v="1"/>
    <s v="Flat"/>
    <x v="0"/>
  </r>
  <r>
    <x v="28"/>
    <x v="0"/>
    <s v="ASY"/>
    <n v="132"/>
    <n v="353"/>
    <n v="0"/>
    <s v="Normal"/>
    <n v="132"/>
    <x v="1"/>
    <n v="1.2"/>
    <s v="Flat"/>
    <x v="1"/>
  </r>
  <r>
    <x v="41"/>
    <x v="0"/>
    <s v="NAP"/>
    <n v="140"/>
    <n v="335"/>
    <n v="0"/>
    <s v="Normal"/>
    <n v="158"/>
    <x v="0"/>
    <n v="0"/>
    <s v="Up"/>
    <x v="1"/>
  </r>
  <r>
    <x v="10"/>
    <x v="0"/>
    <s v="ASY"/>
    <n v="150"/>
    <n v="247"/>
    <n v="0"/>
    <s v="Normal"/>
    <n v="171"/>
    <x v="0"/>
    <n v="1.5"/>
    <s v="Up"/>
    <x v="0"/>
  </r>
  <r>
    <x v="7"/>
    <x v="1"/>
    <s v="NAP"/>
    <n v="120"/>
    <n v="340"/>
    <n v="0"/>
    <s v="Normal"/>
    <n v="172"/>
    <x v="0"/>
    <n v="0"/>
    <s v="Up"/>
    <x v="0"/>
  </r>
  <r>
    <x v="11"/>
    <x v="0"/>
    <s v="ASY"/>
    <n v="130"/>
    <n v="206"/>
    <n v="0"/>
    <s v="LVH"/>
    <n v="132"/>
    <x v="1"/>
    <n v="2.4"/>
    <s v="Flat"/>
    <x v="1"/>
  </r>
  <r>
    <x v="7"/>
    <x v="0"/>
    <s v="ATA"/>
    <n v="120"/>
    <n v="284"/>
    <n v="0"/>
    <s v="LVH"/>
    <n v="160"/>
    <x v="0"/>
    <n v="1.8"/>
    <s v="Flat"/>
    <x v="1"/>
  </r>
  <r>
    <x v="1"/>
    <x v="0"/>
    <s v="ATA"/>
    <n v="130"/>
    <n v="266"/>
    <n v="0"/>
    <s v="Normal"/>
    <n v="171"/>
    <x v="0"/>
    <n v="0.6"/>
    <s v="Up"/>
    <x v="0"/>
  </r>
  <r>
    <x v="3"/>
    <x v="0"/>
    <s v="ATA"/>
    <n v="110"/>
    <n v="229"/>
    <n v="0"/>
    <s v="Normal"/>
    <n v="168"/>
    <x v="0"/>
    <n v="1"/>
    <s v="Down"/>
    <x v="1"/>
  </r>
  <r>
    <x v="15"/>
    <x v="0"/>
    <s v="NAP"/>
    <n v="172"/>
    <n v="199"/>
    <n v="1"/>
    <s v="Normal"/>
    <n v="162"/>
    <x v="0"/>
    <n v="0.5"/>
    <s v="Up"/>
    <x v="0"/>
  </r>
  <r>
    <x v="13"/>
    <x v="0"/>
    <s v="ATA"/>
    <n v="120"/>
    <n v="263"/>
    <n v="0"/>
    <s v="Normal"/>
    <n v="173"/>
    <x v="0"/>
    <n v="0"/>
    <s v="Up"/>
    <x v="0"/>
  </r>
  <r>
    <x v="17"/>
    <x v="1"/>
    <s v="ATA"/>
    <n v="140"/>
    <n v="294"/>
    <n v="0"/>
    <s v="LVH"/>
    <n v="153"/>
    <x v="0"/>
    <n v="1.3"/>
    <s v="Flat"/>
    <x v="0"/>
  </r>
  <r>
    <x v="27"/>
    <x v="0"/>
    <s v="ASY"/>
    <n v="140"/>
    <n v="192"/>
    <n v="0"/>
    <s v="Normal"/>
    <n v="148"/>
    <x v="0"/>
    <n v="0.4"/>
    <s v="Flat"/>
    <x v="0"/>
  </r>
  <r>
    <x v="43"/>
    <x v="0"/>
    <s v="ASY"/>
    <n v="160"/>
    <n v="286"/>
    <n v="0"/>
    <s v="LVH"/>
    <n v="108"/>
    <x v="1"/>
    <n v="1.5"/>
    <s v="Flat"/>
    <x v="1"/>
  </r>
  <r>
    <x v="14"/>
    <x v="1"/>
    <s v="NAP"/>
    <n v="128"/>
    <n v="216"/>
    <n v="0"/>
    <s v="LVH"/>
    <n v="115"/>
    <x v="0"/>
    <n v="0"/>
    <s v="Up"/>
    <x v="0"/>
  </r>
  <r>
    <x v="15"/>
    <x v="0"/>
    <s v="NAP"/>
    <n v="138"/>
    <n v="223"/>
    <n v="0"/>
    <s v="Normal"/>
    <n v="169"/>
    <x v="0"/>
    <n v="0"/>
    <s v="Up"/>
    <x v="0"/>
  </r>
  <r>
    <x v="10"/>
    <x v="0"/>
    <s v="ASY"/>
    <n v="132"/>
    <n v="247"/>
    <n v="1"/>
    <s v="LVH"/>
    <n v="143"/>
    <x v="1"/>
    <n v="0.1"/>
    <s v="Flat"/>
    <x v="1"/>
  </r>
  <r>
    <x v="15"/>
    <x v="0"/>
    <s v="ASY"/>
    <n v="128"/>
    <n v="204"/>
    <n v="1"/>
    <s v="Normal"/>
    <n v="156"/>
    <x v="1"/>
    <n v="1"/>
    <s v="Flat"/>
    <x v="1"/>
  </r>
  <r>
    <x v="22"/>
    <x v="0"/>
    <s v="TA"/>
    <n v="134"/>
    <n v="204"/>
    <n v="0"/>
    <s v="Normal"/>
    <n v="162"/>
    <x v="0"/>
    <n v="0.8"/>
    <s v="Up"/>
    <x v="1"/>
  </r>
  <r>
    <x v="41"/>
    <x v="0"/>
    <s v="TA"/>
    <n v="170"/>
    <n v="227"/>
    <n v="0"/>
    <s v="LVH"/>
    <n v="155"/>
    <x v="0"/>
    <n v="0.6"/>
    <s v="Flat"/>
    <x v="0"/>
  </r>
  <r>
    <x v="30"/>
    <x v="1"/>
    <s v="NAP"/>
    <n v="146"/>
    <n v="278"/>
    <n v="0"/>
    <s v="LVH"/>
    <n v="152"/>
    <x v="0"/>
    <n v="0"/>
    <s v="Flat"/>
    <x v="0"/>
  </r>
  <r>
    <x v="5"/>
    <x v="1"/>
    <s v="NAP"/>
    <n v="138"/>
    <n v="220"/>
    <n v="0"/>
    <s v="Normal"/>
    <n v="152"/>
    <x v="0"/>
    <n v="0"/>
    <s v="Flat"/>
    <x v="0"/>
  </r>
  <r>
    <x v="27"/>
    <x v="0"/>
    <s v="ATA"/>
    <n v="154"/>
    <n v="232"/>
    <n v="0"/>
    <s v="LVH"/>
    <n v="164"/>
    <x v="0"/>
    <n v="0"/>
    <s v="Up"/>
    <x v="1"/>
  </r>
  <r>
    <x v="7"/>
    <x v="1"/>
    <s v="ASY"/>
    <n v="130"/>
    <n v="197"/>
    <n v="0"/>
    <s v="Normal"/>
    <n v="131"/>
    <x v="0"/>
    <n v="0.6"/>
    <s v="Flat"/>
    <x v="0"/>
  </r>
  <r>
    <x v="27"/>
    <x v="0"/>
    <s v="ASY"/>
    <n v="110"/>
    <n v="335"/>
    <n v="0"/>
    <s v="Normal"/>
    <n v="143"/>
    <x v="1"/>
    <n v="3"/>
    <s v="Flat"/>
    <x v="1"/>
  </r>
  <r>
    <x v="24"/>
    <x v="0"/>
    <s v="NAP"/>
    <n v="130"/>
    <n v="253"/>
    <n v="0"/>
    <s v="Normal"/>
    <n v="179"/>
    <x v="0"/>
    <n v="0"/>
    <s v="Up"/>
    <x v="0"/>
  </r>
  <r>
    <x v="28"/>
    <x v="1"/>
    <s v="ASY"/>
    <n v="128"/>
    <n v="205"/>
    <n v="0"/>
    <s v="ST"/>
    <n v="130"/>
    <x v="1"/>
    <n v="2"/>
    <s v="Flat"/>
    <x v="1"/>
  </r>
  <r>
    <x v="21"/>
    <x v="0"/>
    <s v="ATA"/>
    <n v="122"/>
    <n v="192"/>
    <n v="0"/>
    <s v="Normal"/>
    <n v="174"/>
    <x v="0"/>
    <n v="0"/>
    <s v="Up"/>
    <x v="0"/>
  </r>
  <r>
    <x v="33"/>
    <x v="0"/>
    <s v="ASY"/>
    <n v="148"/>
    <n v="203"/>
    <n v="0"/>
    <s v="Normal"/>
    <n v="161"/>
    <x v="0"/>
    <n v="0"/>
    <s v="Up"/>
    <x v="1"/>
  </r>
  <r>
    <x v="7"/>
    <x v="0"/>
    <s v="ASY"/>
    <n v="114"/>
    <n v="318"/>
    <n v="0"/>
    <s v="ST"/>
    <n v="140"/>
    <x v="0"/>
    <n v="4.4000000000000004"/>
    <s v="Down"/>
    <x v="1"/>
  </r>
  <r>
    <x v="7"/>
    <x v="1"/>
    <s v="ASY"/>
    <n v="170"/>
    <n v="225"/>
    <n v="1"/>
    <s v="LVH"/>
    <n v="146"/>
    <x v="1"/>
    <n v="2.8"/>
    <s v="Flat"/>
    <x v="1"/>
  </r>
  <r>
    <x v="7"/>
    <x v="0"/>
    <s v="ATA"/>
    <n v="125"/>
    <n v="220"/>
    <n v="0"/>
    <s v="Normal"/>
    <n v="144"/>
    <x v="0"/>
    <n v="0.4"/>
    <s v="Flat"/>
    <x v="0"/>
  </r>
  <r>
    <x v="17"/>
    <x v="0"/>
    <s v="ATA"/>
    <n v="130"/>
    <n v="221"/>
    <n v="0"/>
    <s v="LVH"/>
    <n v="163"/>
    <x v="0"/>
    <n v="0"/>
    <s v="Up"/>
    <x v="0"/>
  </r>
  <r>
    <x v="17"/>
    <x v="0"/>
    <s v="ATA"/>
    <n v="120"/>
    <n v="240"/>
    <n v="0"/>
    <s v="Normal"/>
    <n v="169"/>
    <x v="0"/>
    <n v="0"/>
    <s v="Down"/>
    <x v="0"/>
  </r>
  <r>
    <x v="43"/>
    <x v="0"/>
    <s v="NAP"/>
    <n v="152"/>
    <n v="212"/>
    <n v="0"/>
    <s v="LVH"/>
    <n v="150"/>
    <x v="0"/>
    <n v="0.8"/>
    <s v="Flat"/>
    <x v="1"/>
  </r>
  <r>
    <x v="28"/>
    <x v="1"/>
    <s v="ATA"/>
    <n v="132"/>
    <n v="342"/>
    <n v="0"/>
    <s v="Normal"/>
    <n v="166"/>
    <x v="0"/>
    <n v="1.2"/>
    <s v="Up"/>
    <x v="0"/>
  </r>
  <r>
    <x v="13"/>
    <x v="0"/>
    <s v="ASY"/>
    <n v="120"/>
    <n v="169"/>
    <n v="0"/>
    <s v="Normal"/>
    <n v="144"/>
    <x v="1"/>
    <n v="2.8"/>
    <s v="Down"/>
    <x v="1"/>
  </r>
  <r>
    <x v="29"/>
    <x v="0"/>
    <s v="ASY"/>
    <n v="140"/>
    <n v="187"/>
    <n v="0"/>
    <s v="LVH"/>
    <n v="144"/>
    <x v="1"/>
    <n v="4"/>
    <s v="Up"/>
    <x v="1"/>
  </r>
  <r>
    <x v="29"/>
    <x v="1"/>
    <s v="ASY"/>
    <n v="124"/>
    <n v="197"/>
    <n v="0"/>
    <s v="Normal"/>
    <n v="136"/>
    <x v="1"/>
    <n v="0"/>
    <s v="Flat"/>
    <x v="1"/>
  </r>
  <r>
    <x v="18"/>
    <x v="0"/>
    <s v="ATA"/>
    <n v="120"/>
    <n v="157"/>
    <n v="0"/>
    <s v="Normal"/>
    <n v="182"/>
    <x v="0"/>
    <n v="0"/>
    <s v="Up"/>
    <x v="0"/>
  </r>
  <r>
    <x v="22"/>
    <x v="0"/>
    <s v="ASY"/>
    <n v="164"/>
    <n v="176"/>
    <n v="1"/>
    <s v="LVH"/>
    <n v="90"/>
    <x v="0"/>
    <n v="1"/>
    <s v="Flat"/>
    <x v="1"/>
  </r>
  <r>
    <x v="27"/>
    <x v="1"/>
    <s v="ASY"/>
    <n v="140"/>
    <n v="241"/>
    <n v="0"/>
    <s v="Normal"/>
    <n v="123"/>
    <x v="1"/>
    <n v="0.2"/>
    <s v="Flat"/>
    <x v="1"/>
  </r>
  <r>
    <x v="6"/>
    <x v="0"/>
    <s v="TA"/>
    <n v="110"/>
    <n v="264"/>
    <n v="0"/>
    <s v="Normal"/>
    <n v="132"/>
    <x v="0"/>
    <n v="1.2"/>
    <s v="Flat"/>
    <x v="1"/>
  </r>
  <r>
    <x v="39"/>
    <x v="0"/>
    <s v="ASY"/>
    <n v="144"/>
    <n v="193"/>
    <n v="1"/>
    <s v="Normal"/>
    <n v="141"/>
    <x v="0"/>
    <n v="3.4"/>
    <s v="Flat"/>
    <x v="1"/>
  </r>
  <r>
    <x v="27"/>
    <x v="0"/>
    <s v="ASY"/>
    <n v="130"/>
    <n v="131"/>
    <n v="0"/>
    <s v="Normal"/>
    <n v="115"/>
    <x v="1"/>
    <n v="1.2"/>
    <s v="Flat"/>
    <x v="1"/>
  </r>
  <r>
    <x v="27"/>
    <x v="1"/>
    <s v="ATA"/>
    <n v="130"/>
    <n v="236"/>
    <n v="0"/>
    <s v="LVH"/>
    <n v="174"/>
    <x v="0"/>
    <n v="0"/>
    <s v="Flat"/>
    <x v="1"/>
  </r>
  <r>
    <x v="9"/>
    <x v="0"/>
    <s v="NAP"/>
    <n v="138"/>
    <n v="175"/>
    <n v="0"/>
    <s v="Normal"/>
    <n v="173"/>
    <x v="0"/>
    <n v="0"/>
    <s v="Up"/>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FB630C8-A8FF-4E27-994B-926F7619B854}"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1:B24" firstHeaderRow="1" firstDataRow="1" firstDataCol="1"/>
  <pivotFields count="12">
    <pivotField showAll="0">
      <items count="9">
        <item x="0"/>
        <item x="1"/>
        <item x="2"/>
        <item x="3"/>
        <item x="4"/>
        <item x="5"/>
        <item x="6"/>
        <item x="7"/>
        <item t="default"/>
      </items>
    </pivotField>
    <pivotField showAll="0">
      <items count="3">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axis="axisRow" dataField="1" showAll="0">
      <items count="3">
        <item x="0"/>
        <item x="1"/>
        <item t="default"/>
      </items>
    </pivotField>
  </pivotFields>
  <rowFields count="1">
    <field x="11"/>
  </rowFields>
  <rowItems count="3">
    <i>
      <x/>
    </i>
    <i>
      <x v="1"/>
    </i>
    <i t="grand">
      <x/>
    </i>
  </rowItems>
  <colItems count="1">
    <i/>
  </colItems>
  <dataFields count="1">
    <dataField name="Count of HeartDisease" fld="11" subtotal="count" baseField="11"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3D7A0DD4-3C2B-4F02-B1A1-75E9FCD87BF2}"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6">
  <location ref="D4:G8" firstHeaderRow="1" firstDataRow="2" firstDataCol="1"/>
  <pivotFields count="12">
    <pivotField showAll="0">
      <items count="9">
        <item x="0"/>
        <item x="1"/>
        <item x="2"/>
        <item x="3"/>
        <item x="4"/>
        <item x="5"/>
        <item x="6"/>
        <item x="7"/>
        <item t="default"/>
      </items>
    </pivotField>
    <pivotField axis="axisRow" showAll="0">
      <items count="3">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axis="axisCol" dataField="1" showAll="0">
      <items count="3">
        <item x="0"/>
        <item x="1"/>
        <item t="default"/>
      </items>
    </pivotField>
  </pivotFields>
  <rowFields count="1">
    <field x="1"/>
  </rowFields>
  <rowItems count="3">
    <i>
      <x/>
    </i>
    <i>
      <x v="1"/>
    </i>
    <i t="grand">
      <x/>
    </i>
  </rowItems>
  <colFields count="1">
    <field x="11"/>
  </colFields>
  <colItems count="3">
    <i>
      <x/>
    </i>
    <i>
      <x v="1"/>
    </i>
    <i t="grand">
      <x/>
    </i>
  </colItems>
  <dataFields count="1">
    <dataField name="Count of HeartDisease" fld="11" subtotal="count" baseField="1" baseItem="0"/>
  </dataFields>
  <chartFormats count="10">
    <chartFormat chart="2" format="2" series="1">
      <pivotArea type="data" outline="0" fieldPosition="0">
        <references count="2">
          <reference field="4294967294" count="1" selected="0">
            <x v="0"/>
          </reference>
          <reference field="11" count="1" selected="0">
            <x v="0"/>
          </reference>
        </references>
      </pivotArea>
    </chartFormat>
    <chartFormat chart="2" format="3" series="1">
      <pivotArea type="data" outline="0" fieldPosition="0">
        <references count="2">
          <reference field="4294967294" count="1" selected="0">
            <x v="0"/>
          </reference>
          <reference field="11" count="1" selected="0">
            <x v="1"/>
          </reference>
        </references>
      </pivotArea>
    </chartFormat>
    <chartFormat chart="2" format="4" series="1">
      <pivotArea type="data" outline="0" fieldPosition="0">
        <references count="1">
          <reference field="4294967294" count="1" selected="0">
            <x v="0"/>
          </reference>
        </references>
      </pivotArea>
    </chartFormat>
    <chartFormat chart="16" format="2" series="1">
      <pivotArea type="data" outline="0" fieldPosition="0">
        <references count="2">
          <reference field="4294967294" count="1" selected="0">
            <x v="0"/>
          </reference>
          <reference field="11" count="1" selected="0">
            <x v="0"/>
          </reference>
        </references>
      </pivotArea>
    </chartFormat>
    <chartFormat chart="16" format="3" series="1">
      <pivotArea type="data" outline="0" fieldPosition="0">
        <references count="2">
          <reference field="4294967294" count="1" selected="0">
            <x v="0"/>
          </reference>
          <reference field="11" count="1" selected="0">
            <x v="1"/>
          </reference>
        </references>
      </pivotArea>
    </chartFormat>
    <chartFormat chart="16" format="4">
      <pivotArea type="data" outline="0" fieldPosition="0">
        <references count="3">
          <reference field="4294967294" count="1" selected="0">
            <x v="0"/>
          </reference>
          <reference field="1" count="1" selected="0">
            <x v="1"/>
          </reference>
          <reference field="11" count="1" selected="0">
            <x v="0"/>
          </reference>
        </references>
      </pivotArea>
    </chartFormat>
    <chartFormat chart="16" format="5">
      <pivotArea type="data" outline="0" fieldPosition="0">
        <references count="3">
          <reference field="4294967294" count="1" selected="0">
            <x v="0"/>
          </reference>
          <reference field="1" count="1" selected="0">
            <x v="0"/>
          </reference>
          <reference field="11" count="1" selected="0">
            <x v="0"/>
          </reference>
        </references>
      </pivotArea>
    </chartFormat>
    <chartFormat chart="16" format="6" series="1">
      <pivotArea type="data" outline="0" fieldPosition="0">
        <references count="1">
          <reference field="4294967294" count="1" selected="0">
            <x v="0"/>
          </reference>
        </references>
      </pivotArea>
    </chartFormat>
    <chartFormat chart="16" format="7">
      <pivotArea type="data" outline="0" fieldPosition="0">
        <references count="3">
          <reference field="4294967294" count="1" selected="0">
            <x v="0"/>
          </reference>
          <reference field="1" count="1" selected="0">
            <x v="0"/>
          </reference>
          <reference field="11" count="1" selected="0">
            <x v="1"/>
          </reference>
        </references>
      </pivotArea>
    </chartFormat>
    <chartFormat chart="16" format="8">
      <pivotArea type="data" outline="0" fieldPosition="0">
        <references count="3">
          <reference field="4294967294" count="1" selected="0">
            <x v="0"/>
          </reference>
          <reference field="1" count="1" selected="0">
            <x v="1"/>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F9A3731-5642-4858-B926-2E1ACC915B13}"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2">
  <location ref="A4:B7" firstHeaderRow="1" firstDataRow="1" firstDataCol="1"/>
  <pivotFields count="12">
    <pivotField showAll="0">
      <items count="9">
        <item x="0"/>
        <item x="1"/>
        <item x="2"/>
        <item x="3"/>
        <item x="4"/>
        <item x="5"/>
        <item x="6"/>
        <item x="7"/>
        <item t="default"/>
      </items>
    </pivotField>
    <pivotField showAll="0">
      <items count="3">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axis="axisRow" dataField="1" showAll="0">
      <items count="3">
        <item x="0"/>
        <item x="1"/>
        <item t="default"/>
      </items>
    </pivotField>
  </pivotFields>
  <rowFields count="1">
    <field x="11"/>
  </rowFields>
  <rowItems count="3">
    <i>
      <x/>
    </i>
    <i>
      <x v="1"/>
    </i>
    <i t="grand">
      <x/>
    </i>
  </rowItems>
  <colItems count="1">
    <i/>
  </colItems>
  <dataFields count="1">
    <dataField name="Count of HeartDisease" fld="11" subtotal="count" baseField="11" baseItem="0"/>
  </dataFields>
  <chartFormats count="8">
    <chartFormat chart="60" format="1" series="1">
      <pivotArea type="data" outline="0" fieldPosition="0">
        <references count="1">
          <reference field="4294967294" count="1" selected="0">
            <x v="0"/>
          </reference>
        </references>
      </pivotArea>
    </chartFormat>
    <chartFormat chart="60" format="2">
      <pivotArea type="data" outline="0" fieldPosition="0">
        <references count="2">
          <reference field="4294967294" count="1" selected="0">
            <x v="0"/>
          </reference>
          <reference field="11" count="1" selected="0">
            <x v="0"/>
          </reference>
        </references>
      </pivotArea>
    </chartFormat>
    <chartFormat chart="60" format="3">
      <pivotArea type="data" outline="0" fieldPosition="0">
        <references count="2">
          <reference field="4294967294" count="1" selected="0">
            <x v="0"/>
          </reference>
          <reference field="11" count="1" selected="0">
            <x v="1"/>
          </reference>
        </references>
      </pivotArea>
    </chartFormat>
    <chartFormat chart="88" format="1" series="1">
      <pivotArea type="data" outline="0" fieldPosition="0">
        <references count="1">
          <reference field="4294967294" count="1" selected="0">
            <x v="0"/>
          </reference>
        </references>
      </pivotArea>
    </chartFormat>
    <chartFormat chart="89" format="2" series="1">
      <pivotArea type="data" outline="0" fieldPosition="0">
        <references count="1">
          <reference field="4294967294" count="1" selected="0">
            <x v="0"/>
          </reference>
        </references>
      </pivotArea>
    </chartFormat>
    <chartFormat chart="90" format="2" series="1">
      <pivotArea type="data" outline="0" fieldPosition="0">
        <references count="1">
          <reference field="4294967294" count="1" selected="0">
            <x v="0"/>
          </reference>
        </references>
      </pivotArea>
    </chartFormat>
    <chartFormat chart="90" format="3">
      <pivotArea type="data" outline="0" fieldPosition="0">
        <references count="2">
          <reference field="4294967294" count="1" selected="0">
            <x v="0"/>
          </reference>
          <reference field="11" count="1" selected="0">
            <x v="0"/>
          </reference>
        </references>
      </pivotArea>
    </chartFormat>
    <chartFormat chart="90" format="4">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4D0DB398-0FB6-4D14-8297-D869CC85BD3B}"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11:D15" firstHeaderRow="1" firstDataRow="2" firstDataCol="1"/>
  <pivotFields count="12">
    <pivotField showAll="0">
      <items count="9">
        <item x="0"/>
        <item x="1"/>
        <item x="2"/>
        <item x="3"/>
        <item x="4"/>
        <item x="5"/>
        <item x="6"/>
        <item x="7"/>
        <item t="default"/>
      </items>
    </pivotField>
    <pivotField showAll="0">
      <items count="3">
        <item x="1"/>
        <item x="0"/>
        <item t="default"/>
      </items>
    </pivotField>
    <pivotField showAll="0"/>
    <pivotField showAll="0"/>
    <pivotField showAll="0"/>
    <pivotField showAll="0"/>
    <pivotField showAll="0"/>
    <pivotField showAll="0"/>
    <pivotField axis="axisRow" showAll="0">
      <items count="3">
        <item x="0"/>
        <item x="1"/>
        <item t="default"/>
      </items>
    </pivotField>
    <pivotField showAll="0"/>
    <pivotField showAll="0"/>
    <pivotField axis="axisCol" dataField="1" showAll="0">
      <items count="3">
        <item x="0"/>
        <item x="1"/>
        <item t="default"/>
      </items>
    </pivotField>
  </pivotFields>
  <rowFields count="1">
    <field x="8"/>
  </rowFields>
  <rowItems count="3">
    <i>
      <x/>
    </i>
    <i>
      <x v="1"/>
    </i>
    <i t="grand">
      <x/>
    </i>
  </rowItems>
  <colFields count="1">
    <field x="11"/>
  </colFields>
  <colItems count="3">
    <i>
      <x/>
    </i>
    <i>
      <x v="1"/>
    </i>
    <i t="grand">
      <x/>
    </i>
  </colItems>
  <dataFields count="1">
    <dataField name="Count of HeartDisease" fld="11" subtotal="count" baseField="8" baseItem="0"/>
  </dataFields>
  <chartFormats count="6">
    <chartFormat chart="2" format="2" series="1">
      <pivotArea type="data" outline="0" fieldPosition="0">
        <references count="2">
          <reference field="4294967294" count="1" selected="0">
            <x v="0"/>
          </reference>
          <reference field="11" count="1" selected="0">
            <x v="0"/>
          </reference>
        </references>
      </pivotArea>
    </chartFormat>
    <chartFormat chart="2" format="3" series="1">
      <pivotArea type="data" outline="0" fieldPosition="0">
        <references count="2">
          <reference field="4294967294" count="1" selected="0">
            <x v="0"/>
          </reference>
          <reference field="11" count="1" selected="0">
            <x v="1"/>
          </reference>
        </references>
      </pivotArea>
    </chartFormat>
    <chartFormat chart="2" format="4" series="1">
      <pivotArea type="data" outline="0" fieldPosition="0">
        <references count="1">
          <reference field="4294967294" count="1" selected="0">
            <x v="0"/>
          </reference>
        </references>
      </pivotArea>
    </chartFormat>
    <chartFormat chart="25" format="4" series="1">
      <pivotArea type="data" outline="0" fieldPosition="0">
        <references count="2">
          <reference field="4294967294" count="1" selected="0">
            <x v="0"/>
          </reference>
          <reference field="11" count="1" selected="0">
            <x v="0"/>
          </reference>
        </references>
      </pivotArea>
    </chartFormat>
    <chartFormat chart="25" format="5" series="1">
      <pivotArea type="data" outline="0" fieldPosition="0">
        <references count="2">
          <reference field="4294967294" count="1" selected="0">
            <x v="0"/>
          </reference>
          <reference field="11" count="1" selected="0">
            <x v="1"/>
          </reference>
        </references>
      </pivotArea>
    </chartFormat>
    <chartFormat chart="25" format="6"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8A63B9C2-55E7-484A-ACF6-923565BE218F}"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5">
  <location ref="F11:I19" firstHeaderRow="1" firstDataRow="2" firstDataCol="1"/>
  <pivotFields count="12">
    <pivotField axis="axisRow" showAll="0">
      <items count="9">
        <item x="0"/>
        <item x="1"/>
        <item x="2"/>
        <item x="3"/>
        <item x="4"/>
        <item x="5"/>
        <item x="6"/>
        <item x="7"/>
        <item t="default"/>
      </items>
    </pivotField>
    <pivotField showAll="0">
      <items count="3">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axis="axisCol" dataField="1" showAll="0">
      <items count="3">
        <item x="0"/>
        <item x="1"/>
        <item t="default"/>
      </items>
    </pivotField>
  </pivotFields>
  <rowFields count="1">
    <field x="0"/>
  </rowFields>
  <rowItems count="7">
    <i>
      <x v="1"/>
    </i>
    <i>
      <x v="2"/>
    </i>
    <i>
      <x v="3"/>
    </i>
    <i>
      <x v="4"/>
    </i>
    <i>
      <x v="5"/>
    </i>
    <i>
      <x v="6"/>
    </i>
    <i t="grand">
      <x/>
    </i>
  </rowItems>
  <colFields count="1">
    <field x="11"/>
  </colFields>
  <colItems count="3">
    <i>
      <x/>
    </i>
    <i>
      <x v="1"/>
    </i>
    <i t="grand">
      <x/>
    </i>
  </colItems>
  <dataFields count="1">
    <dataField name="Count of HeartDisease" fld="11" subtotal="count" baseField="0" baseItem="0"/>
  </dataFields>
  <chartFormats count="12">
    <chartFormat chart="27" format="2" series="1">
      <pivotArea type="data" outline="0" fieldPosition="0">
        <references count="2">
          <reference field="4294967294" count="1" selected="0">
            <x v="0"/>
          </reference>
          <reference field="11" count="1" selected="0">
            <x v="0"/>
          </reference>
        </references>
      </pivotArea>
    </chartFormat>
    <chartFormat chart="27" format="3" series="1">
      <pivotArea type="data" outline="0" fieldPosition="0">
        <references count="2">
          <reference field="4294967294" count="1" selected="0">
            <x v="0"/>
          </reference>
          <reference field="11" count="1" selected="0">
            <x v="1"/>
          </reference>
        </references>
      </pivotArea>
    </chartFormat>
    <chartFormat chart="27" format="4" series="1">
      <pivotArea type="data" outline="0" fieldPosition="0">
        <references count="1">
          <reference field="4294967294" count="1" selected="0">
            <x v="0"/>
          </reference>
        </references>
      </pivotArea>
    </chartFormat>
    <chartFormat chart="42" format="2" series="1">
      <pivotArea type="data" outline="0" fieldPosition="0">
        <references count="2">
          <reference field="4294967294" count="1" selected="0">
            <x v="0"/>
          </reference>
          <reference field="11" count="1" selected="0">
            <x v="0"/>
          </reference>
        </references>
      </pivotArea>
    </chartFormat>
    <chartFormat chart="42" format="3" series="1">
      <pivotArea type="data" outline="0" fieldPosition="0">
        <references count="2">
          <reference field="4294967294" count="1" selected="0">
            <x v="0"/>
          </reference>
          <reference field="11" count="1" selected="0">
            <x v="1"/>
          </reference>
        </references>
      </pivotArea>
    </chartFormat>
    <chartFormat chart="42" format="4">
      <pivotArea type="data" outline="0" fieldPosition="0">
        <references count="3">
          <reference field="4294967294" count="1" selected="0">
            <x v="0"/>
          </reference>
          <reference field="0" count="1" selected="0">
            <x v="2"/>
          </reference>
          <reference field="11" count="1" selected="0">
            <x v="0"/>
          </reference>
        </references>
      </pivotArea>
    </chartFormat>
    <chartFormat chart="42" format="5">
      <pivotArea type="data" outline="0" fieldPosition="0">
        <references count="3">
          <reference field="4294967294" count="1" selected="0">
            <x v="0"/>
          </reference>
          <reference field="0" count="1" selected="0">
            <x v="1"/>
          </reference>
          <reference field="11" count="1" selected="0">
            <x v="0"/>
          </reference>
        </references>
      </pivotArea>
    </chartFormat>
    <chartFormat chart="42" format="6">
      <pivotArea type="data" outline="0" fieldPosition="0">
        <references count="3">
          <reference field="4294967294" count="1" selected="0">
            <x v="0"/>
          </reference>
          <reference field="0" count="1" selected="0">
            <x v="2"/>
          </reference>
          <reference field="11" count="1" selected="0">
            <x v="1"/>
          </reference>
        </references>
      </pivotArea>
    </chartFormat>
    <chartFormat chart="42" format="7">
      <pivotArea type="data" outline="0" fieldPosition="0">
        <references count="3">
          <reference field="4294967294" count="1" selected="0">
            <x v="0"/>
          </reference>
          <reference field="0" count="1" selected="0">
            <x v="3"/>
          </reference>
          <reference field="11" count="1" selected="0">
            <x v="0"/>
          </reference>
        </references>
      </pivotArea>
    </chartFormat>
    <chartFormat chart="42" format="8">
      <pivotArea type="data" outline="0" fieldPosition="0">
        <references count="3">
          <reference field="4294967294" count="1" selected="0">
            <x v="0"/>
          </reference>
          <reference field="0" count="1" selected="0">
            <x v="3"/>
          </reference>
          <reference field="11" count="1" selected="0">
            <x v="1"/>
          </reference>
        </references>
      </pivotArea>
    </chartFormat>
    <chartFormat chart="42" format="9">
      <pivotArea type="data" outline="0" fieldPosition="0">
        <references count="3">
          <reference field="4294967294" count="1" selected="0">
            <x v="0"/>
          </reference>
          <reference field="0" count="1" selected="0">
            <x v="4"/>
          </reference>
          <reference field="11" count="1" selected="0">
            <x v="0"/>
          </reference>
        </references>
      </pivotArea>
    </chartFormat>
    <chartFormat chart="42" format="1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A55F63A7-CAB0-498C-A523-2A071613C471}" autoFormatId="16" applyNumberFormats="0" applyBorderFormats="0" applyFontFormats="0" applyPatternFormats="0" applyAlignmentFormats="0" applyWidthHeightFormats="0">
  <queryTableRefresh nextId="13">
    <queryTableFields count="12">
      <queryTableField id="1" name="Age" tableColumnId="1"/>
      <queryTableField id="2" name="Sex" tableColumnId="2"/>
      <queryTableField id="3" name="ChestPainType" tableColumnId="3"/>
      <queryTableField id="4" name="RestingBP" tableColumnId="4"/>
      <queryTableField id="5" name="Cholesterol" tableColumnId="5"/>
      <queryTableField id="6" name="FastingBS" tableColumnId="6"/>
      <queryTableField id="7" name="RestingECG" tableColumnId="7"/>
      <queryTableField id="8" name="MaxHR" tableColumnId="8"/>
      <queryTableField id="9" name="ExerciseAngina" tableColumnId="9"/>
      <queryTableField id="10" name="Oldpeak" tableColumnId="10"/>
      <queryTableField id="11" name="ST_Slope" tableColumnId="11"/>
      <queryTableField id="12" name="HeartDisease" tableColumnId="12"/>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1" xr10:uid="{42F8CD25-6596-4AD3-96E8-1686C6C0E834}" sourceName="Age">
  <pivotTables>
    <pivotTable tabId="8" name="PivotTable2"/>
    <pivotTable tabId="8" name="PivotTable5"/>
    <pivotTable tabId="8" name="PivotTable4"/>
    <pivotTable tabId="8" name="PivotTable1"/>
    <pivotTable tabId="8" name="PivotTable3"/>
  </pivotTables>
  <data>
    <tabular pivotCacheId="1792540992">
      <items count="8">
        <i x="1" s="1"/>
        <i x="2" s="1"/>
        <i x="3" s="1"/>
        <i x="4" s="1"/>
        <i x="5" s="1"/>
        <i x="6" s="1"/>
        <i x="0" s="1" nd="1"/>
        <i x="7"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x1" xr10:uid="{CFA4A920-AB5E-46FF-B8CF-862E546F54EA}" sourceName="Sex">
  <pivotTables>
    <pivotTable tabId="8" name="PivotTable2"/>
    <pivotTable tabId="8" name="PivotTable5"/>
    <pivotTable tabId="8" name="PivotTable4"/>
    <pivotTable tabId="8" name="PivotTable1"/>
    <pivotTable tabId="8" name="PivotTable3"/>
  </pivotTables>
  <data>
    <tabular pivotCacheId="1792540992">
      <items count="2">
        <i x="1"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xerciseAngina1" xr10:uid="{4E88B2AE-322E-460A-B644-0C3105673D81}" sourceName="ExerciseAngina">
  <pivotTables>
    <pivotTable tabId="8" name="PivotTable2"/>
    <pivotTable tabId="8" name="PivotTable5"/>
    <pivotTable tabId="8" name="PivotTable4"/>
    <pivotTable tabId="8" name="PivotTable1"/>
    <pivotTable tabId="8" name="PivotTable3"/>
  </pivotTables>
  <data>
    <tabular pivotCacheId="1792540992">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xr10:uid="{BF54B352-F746-4CE1-B495-FE6C3A3E1B4A}" cache="Slicer_Age1" caption="Age" columnCount="3" rowHeight="234950"/>
  <slicer name="Sex" xr10:uid="{836CA571-21DE-4EBD-8134-6433981BA311}" cache="Slicer_Sex1" caption="Sex" columnCount="2" style="SlicerStyleDark4" rowHeight="234950"/>
  <slicer name="ExerciseAngina" xr10:uid="{9ED9521E-006F-450F-BBD4-71037D741DBA}" cache="Slicer_ExerciseAngina1" caption="ExerciseAngina" columnCount="2" style="SlicerStyleDark4"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Age 1" xr10:uid="{317C8AD1-D911-4EB0-82BF-16191B6AA31E}" cache="Slicer_Age1" caption="Age Group" style="SlicerStyleDark4" rowHeight="234950"/>
  <slicer name="Sex 1" xr10:uid="{C77BC95F-6C96-41D1-BDED-EE7AF7DE32B9}" cache="Slicer_Sex1" columnCount="2" style="Slicer Style 7" rowHeight="234950"/>
  <slicer name="ExerciseAngina 1" xr10:uid="{12943067-7639-4DA6-95F1-9CB53B5B2880}" cache="Slicer_ExerciseAngina1" caption="Exercise Angina" rowHeight="2349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99E54E9D-24BF-482A-9B26-960AEEAF2F6C}" name="heart" displayName="heart" ref="A1:L919" tableType="queryTable" totalsRowShown="0">
  <autoFilter ref="A1:L919" xr:uid="{99E54E9D-24BF-482A-9B26-960AEEAF2F6C}"/>
  <tableColumns count="12">
    <tableColumn id="1" xr3:uid="{29F362AB-76B5-48DB-BF0A-AC65D7587996}" uniqueName="1" name="Age" queryTableFieldId="1"/>
    <tableColumn id="2" xr3:uid="{5C711BF3-8292-4C56-A770-80E01FE0686E}" uniqueName="2" name="Sex" queryTableFieldId="2" dataDxfId="4"/>
    <tableColumn id="3" xr3:uid="{40E31339-860D-47CB-ABCD-8EA232699640}" uniqueName="3" name="ChestPainType" queryTableFieldId="3" dataDxfId="3"/>
    <tableColumn id="4" xr3:uid="{6245B218-815B-4180-88C3-6A71D66DD010}" uniqueName="4" name="RestingBP" queryTableFieldId="4"/>
    <tableColumn id="5" xr3:uid="{0A6B6CA0-DAC4-4948-9349-1FC76ADE3F0A}" uniqueName="5" name="Cholesterol" queryTableFieldId="5"/>
    <tableColumn id="6" xr3:uid="{53281CA8-77CD-4DA5-82B1-59336668DE45}" uniqueName="6" name="FastingBS" queryTableFieldId="6"/>
    <tableColumn id="7" xr3:uid="{8E2D5535-FA88-441D-8E2A-AF4585CBFDBF}" uniqueName="7" name="RestingECG" queryTableFieldId="7" dataDxfId="2"/>
    <tableColumn id="8" xr3:uid="{A1BE8AE3-2186-4610-9365-76FF126DF774}" uniqueName="8" name="MaxHR" queryTableFieldId="8"/>
    <tableColumn id="9" xr3:uid="{4C454372-AA70-4351-B3C1-F0A1CBE04279}" uniqueName="9" name="ExerciseAngina" queryTableFieldId="9" dataDxfId="1"/>
    <tableColumn id="10" xr3:uid="{EF185CAD-0D5E-43A6-933A-4BA6F9B940F1}" uniqueName="10" name="Oldpeak" queryTableFieldId="10"/>
    <tableColumn id="11" xr3:uid="{C4E82B9A-C975-4394-9746-9A8D8D057331}" uniqueName="11" name="ST_Slope" queryTableFieldId="11" dataDxfId="0"/>
    <tableColumn id="12" xr3:uid="{37567E13-F94E-4C1A-BA05-433099C670F9}" uniqueName="12" name="HeartDisease" queryTableFieldId="12"/>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FD43DDB4-9A3E-416E-AA73-3270CC950F5A}" name="Table2" displayName="Table2" ref="A1:E8" totalsRowShown="0">
  <autoFilter ref="A1:E8" xr:uid="{FD43DDB4-9A3E-416E-AA73-3270CC950F5A}"/>
  <tableColumns count="5">
    <tableColumn id="1" xr3:uid="{666F3EFB-0084-44D7-B674-14133DD31CB0}" name="Feature"/>
    <tableColumn id="2" xr3:uid="{7FA7CD9F-FDA4-4DE5-8DA6-7EBE38BB4426}" name="Min"/>
    <tableColumn id="3" xr3:uid="{E721C0D6-67AE-47C8-A3A8-ABEEAACB4E68}" name="Max"/>
    <tableColumn id="4" xr3:uid="{F0F012F9-4C50-4F20-AAE6-BD5B8A700ABB}" name="Mean"/>
    <tableColumn id="5" xr3:uid="{06192277-8040-49FA-BF57-4A6DCB1D2E6E}" name="Median"/>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2D018566-8734-4FB0-8638-35726159F1F7}" name="Table3" displayName="Table3" ref="A1:H8" totalsRowShown="0" headerRowDxfId="16" dataDxfId="14" headerRowBorderDxfId="15" tableBorderDxfId="13">
  <autoFilter ref="A1:H8" xr:uid="{2D018566-8734-4FB0-8638-35726159F1F7}"/>
  <tableColumns count="8">
    <tableColumn id="1" xr3:uid="{3B7103C0-6687-4E98-868B-CD382034E8B2}" name="Column1" dataDxfId="12"/>
    <tableColumn id="2" xr3:uid="{A4CEDDB5-4C87-4C59-8F7D-B4F4E6EEC0B4}" name="Age" dataDxfId="11"/>
    <tableColumn id="3" xr3:uid="{806F507F-0F9D-468C-B549-B748F27691E1}" name="RestingBP" dataDxfId="10"/>
    <tableColumn id="4" xr3:uid="{5E71BD1C-57EE-4D8C-A75D-9D723A613278}" name="Cholesterol" dataDxfId="9"/>
    <tableColumn id="5" xr3:uid="{F4A56772-E49E-4B86-8EE2-B0A662553ECA}" name="FastingBS" dataDxfId="8"/>
    <tableColumn id="6" xr3:uid="{BFA7E5C9-F484-4240-8FB9-54FC3E0B431A}" name="MaxHR" dataDxfId="7"/>
    <tableColumn id="7" xr3:uid="{9612D7EA-F442-451F-B54B-9672EE15852A}" name="Oldpeak" dataDxfId="6"/>
    <tableColumn id="8" xr3:uid="{81BCCA59-444C-4CE3-8C3D-B3A5DA35F823}" name="HeartDisease" dataDxfId="5"/>
  </tableColumns>
  <tableStyleInfo name="TableStyleMedium2" showFirstColumn="0" showLastColumn="0" showRowStripes="1" showColumnStripes="0"/>
</table>
</file>

<file path=xl/theme/theme1.xml><?xml version="1.0" encoding="utf-8"?>
<a:theme xmlns:a="http://schemas.openxmlformats.org/drawingml/2006/main" name="Facet">
  <a:themeElements>
    <a:clrScheme name="Facet">
      <a:dk1>
        <a:sysClr val="windowText" lastClr="000000"/>
      </a:dk1>
      <a:lt1>
        <a:sysClr val="window" lastClr="FFFFFF"/>
      </a:lt1>
      <a:dk2>
        <a:srgbClr val="2C3C43"/>
      </a:dk2>
      <a:lt2>
        <a:srgbClr val="EBEBEB"/>
      </a:lt2>
      <a:accent1>
        <a:srgbClr val="90C226"/>
      </a:accent1>
      <a:accent2>
        <a:srgbClr val="54A021"/>
      </a:accent2>
      <a:accent3>
        <a:srgbClr val="E6B91E"/>
      </a:accent3>
      <a:accent4>
        <a:srgbClr val="E76618"/>
      </a:accent4>
      <a:accent5>
        <a:srgbClr val="C42F1A"/>
      </a:accent5>
      <a:accent6>
        <a:srgbClr val="918655"/>
      </a:accent6>
      <a:hlink>
        <a:srgbClr val="99CA3C"/>
      </a:hlink>
      <a:folHlink>
        <a:srgbClr val="B9D181"/>
      </a:folHlink>
    </a:clrScheme>
    <a:fontScheme name="Facet">
      <a:majorFont>
        <a:latin typeface="Trebuchet MS" panose="020B0603020202020204"/>
        <a:ea typeface=""/>
        <a:cs typeface=""/>
        <a:font script="Jpan" typeface="メイリオ"/>
        <a:font script="Hang" typeface="맑은 고딕"/>
        <a:font script="Hans" typeface="方正姚体"/>
        <a:font script="Hant" typeface="微軟正黑體"/>
        <a:font script="Arab" typeface="Tahoma"/>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Trebuchet MS" panose="020B0603020202020204"/>
        <a:ea typeface=""/>
        <a:cs typeface=""/>
        <a:font script="Jpan" typeface="メイリオ"/>
        <a:font script="Hang" typeface="HY그래픽M"/>
        <a:font script="Hans" typeface="华文新魏"/>
        <a:font script="Hant" typeface="微軟正黑體"/>
        <a:font script="Arab" typeface="Tahoma"/>
        <a:font script="Hebr" typeface="Gisha"/>
        <a:font script="Thai" typeface="IrisUPC"/>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Facet">
      <a:fillStyleLst>
        <a:solidFill>
          <a:schemeClr val="phClr"/>
        </a:solidFill>
        <a:gradFill rotWithShape="1">
          <a:gsLst>
            <a:gs pos="0">
              <a:schemeClr val="phClr">
                <a:tint val="65000"/>
                <a:lumMod val="110000"/>
              </a:schemeClr>
            </a:gs>
            <a:gs pos="88000">
              <a:schemeClr val="phClr">
                <a:tint val="90000"/>
              </a:schemeClr>
            </a:gs>
          </a:gsLst>
          <a:lin ang="5400000" scaled="0"/>
        </a:gradFill>
        <a:gradFill rotWithShape="1">
          <a:gsLst>
            <a:gs pos="0">
              <a:schemeClr val="phClr">
                <a:tint val="96000"/>
                <a:lumMod val="100000"/>
              </a:schemeClr>
            </a:gs>
            <a:gs pos="78000">
              <a:schemeClr val="phClr">
                <a:shade val="94000"/>
                <a:lumMod val="94000"/>
              </a:schemeClr>
            </a:gs>
          </a:gsLst>
          <a:lin ang="5400000" scaled="0"/>
        </a:gradFill>
      </a:fillStyleLst>
      <a:lnStyleLst>
        <a:ln w="12700" cap="rnd" cmpd="sng" algn="ctr">
          <a:solidFill>
            <a:schemeClr val="phClr"/>
          </a:solidFill>
          <a:prstDash val="solid"/>
        </a:ln>
        <a:ln w="19050" cap="rnd" cmpd="sng" algn="ctr">
          <a:solidFill>
            <a:schemeClr val="phClr"/>
          </a:solidFill>
          <a:prstDash val="solid"/>
        </a:ln>
        <a:ln w="25400" cap="rnd" cmpd="sng" algn="ctr">
          <a:solidFill>
            <a:schemeClr val="phClr"/>
          </a:solidFill>
          <a:prstDash val="solid"/>
        </a:ln>
      </a:lnStyleLst>
      <a:effectStyleLst>
        <a:effectStyle>
          <a:effectLst/>
        </a:effectStyle>
        <a:effectStyle>
          <a:effectLst>
            <a:outerShdw blurRad="38100" dist="25400" dir="5400000" rotWithShape="0">
              <a:srgbClr val="000000">
                <a:alpha val="35000"/>
              </a:srgbClr>
            </a:outerShdw>
          </a:effectLst>
        </a:effectStyle>
        <a:effectStyle>
          <a:effectLst>
            <a:outerShdw blurRad="50800" dist="38100" dir="5400000" rotWithShape="0">
              <a:srgbClr val="000000">
                <a:alpha val="35000"/>
              </a:srgbClr>
            </a:outerShdw>
          </a:effectLst>
          <a:scene3d>
            <a:camera prst="orthographicFront">
              <a:rot lat="0" lon="0" rev="0"/>
            </a:camera>
            <a:lightRig rig="threePt" dir="tl"/>
          </a:scene3d>
          <a:sp3d prstMaterial="plastic">
            <a:bevelT w="0" h="0"/>
          </a:sp3d>
        </a:effectStyle>
      </a:effectStyleLst>
      <a:bgFillStyleLst>
        <a:solidFill>
          <a:schemeClr val="phClr"/>
        </a:solidFill>
        <a:gradFill rotWithShape="1">
          <a:gsLst>
            <a:gs pos="0">
              <a:schemeClr val="phClr">
                <a:tint val="90000"/>
                <a:lumMod val="104000"/>
              </a:schemeClr>
            </a:gs>
            <a:gs pos="94000">
              <a:schemeClr val="phClr">
                <a:shade val="96000"/>
                <a:lumMod val="82000"/>
              </a:schemeClr>
            </a:gs>
          </a:gsLst>
          <a:lin ang="5400000" scaled="0"/>
        </a:gradFill>
        <a:gradFill rotWithShape="1">
          <a:gsLst>
            <a:gs pos="0">
              <a:schemeClr val="phClr">
                <a:tint val="90000"/>
                <a:lumMod val="110000"/>
              </a:schemeClr>
            </a:gs>
            <a:gs pos="100000">
              <a:schemeClr val="phClr">
                <a:shade val="94000"/>
                <a:lumMod val="96000"/>
              </a:schemeClr>
            </a:gs>
          </a:gsLst>
          <a:path path="circle">
            <a:fillToRect l="50000" t="50000" r="100000" b="100000"/>
          </a:path>
        </a:gradFill>
      </a:bgFillStyleLst>
    </a:fmtScheme>
  </a:themeElements>
  <a:objectDefaults/>
  <a:extraClrSchemeLst/>
  <a:extLst>
    <a:ext uri="{05A4C25C-085E-4340-85A3-A5531E510DB2}">
      <thm15:themeFamily xmlns:thm15="http://schemas.microsoft.com/office/thememl/2012/main" name="Facet" id="{C0C680CD-088A-49FC-A102-D699147F32B2}" vid="{CFBC31BA-B70F-4F30-BCAA-4F3011E16C4D}"/>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table" Target="../tables/table3.xml"/></Relationships>
</file>

<file path=xl/worksheets/_rels/sheet6.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2" Type="http://schemas.microsoft.com/office/2007/relationships/slicer" Target="../slicers/slicer2.xml"/><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874091-5617-4E78-8A14-B74A1E510DA4}">
  <dimension ref="A1:L919"/>
  <sheetViews>
    <sheetView topLeftCell="A663" workbookViewId="0"/>
  </sheetViews>
  <sheetFormatPr defaultRowHeight="14.4" x14ac:dyDescent="0.3"/>
  <cols>
    <col min="1" max="1" width="6.44140625" customWidth="1"/>
    <col min="2" max="2" width="6.109375" customWidth="1"/>
    <col min="3" max="3" width="15.77734375" customWidth="1"/>
    <col min="4" max="4" width="11.5546875" customWidth="1"/>
    <col min="5" max="5" width="12.6640625" customWidth="1"/>
    <col min="6" max="6" width="11.21875" customWidth="1"/>
    <col min="7" max="7" width="12.6640625" customWidth="1"/>
    <col min="8" max="8" width="9.21875" customWidth="1"/>
    <col min="9" max="9" width="15.88671875" customWidth="1"/>
    <col min="10" max="10" width="10.21875" customWidth="1"/>
    <col min="11" max="11" width="10.88671875" customWidth="1"/>
    <col min="12" max="12" width="14" customWidth="1"/>
  </cols>
  <sheetData>
    <row r="1" spans="1:12" x14ac:dyDescent="0.3">
      <c r="A1" t="s">
        <v>0</v>
      </c>
      <c r="B1" t="s">
        <v>1</v>
      </c>
      <c r="C1" t="s">
        <v>2</v>
      </c>
      <c r="D1" t="s">
        <v>3</v>
      </c>
      <c r="E1" t="s">
        <v>4</v>
      </c>
      <c r="F1" t="s">
        <v>5</v>
      </c>
      <c r="G1" t="s">
        <v>6</v>
      </c>
      <c r="H1" t="s">
        <v>7</v>
      </c>
      <c r="I1" t="s">
        <v>8</v>
      </c>
      <c r="J1" t="s">
        <v>9</v>
      </c>
      <c r="K1" t="s">
        <v>10</v>
      </c>
      <c r="L1" t="s">
        <v>11</v>
      </c>
    </row>
    <row r="2" spans="1:12" x14ac:dyDescent="0.3">
      <c r="A2">
        <v>40</v>
      </c>
      <c r="B2" t="s">
        <v>12</v>
      </c>
      <c r="C2" t="s">
        <v>13</v>
      </c>
      <c r="D2">
        <v>140</v>
      </c>
      <c r="E2">
        <v>289</v>
      </c>
      <c r="F2">
        <v>0</v>
      </c>
      <c r="G2" t="s">
        <v>14</v>
      </c>
      <c r="H2">
        <v>172</v>
      </c>
      <c r="I2" t="s">
        <v>15</v>
      </c>
      <c r="J2">
        <v>0</v>
      </c>
      <c r="K2" t="s">
        <v>16</v>
      </c>
      <c r="L2">
        <v>0</v>
      </c>
    </row>
    <row r="3" spans="1:12" x14ac:dyDescent="0.3">
      <c r="A3">
        <v>49</v>
      </c>
      <c r="B3" t="s">
        <v>17</v>
      </c>
      <c r="C3" t="s">
        <v>18</v>
      </c>
      <c r="D3">
        <v>160</v>
      </c>
      <c r="E3">
        <v>180</v>
      </c>
      <c r="F3">
        <v>0</v>
      </c>
      <c r="G3" t="s">
        <v>14</v>
      </c>
      <c r="H3">
        <v>156</v>
      </c>
      <c r="I3" t="s">
        <v>15</v>
      </c>
      <c r="J3">
        <v>1</v>
      </c>
      <c r="K3" t="s">
        <v>19</v>
      </c>
      <c r="L3">
        <v>1</v>
      </c>
    </row>
    <row r="4" spans="1:12" x14ac:dyDescent="0.3">
      <c r="A4">
        <v>37</v>
      </c>
      <c r="B4" t="s">
        <v>12</v>
      </c>
      <c r="C4" t="s">
        <v>13</v>
      </c>
      <c r="D4">
        <v>130</v>
      </c>
      <c r="E4">
        <v>283</v>
      </c>
      <c r="F4">
        <v>0</v>
      </c>
      <c r="G4" t="s">
        <v>20</v>
      </c>
      <c r="H4">
        <v>98</v>
      </c>
      <c r="I4" t="s">
        <v>15</v>
      </c>
      <c r="J4">
        <v>0</v>
      </c>
      <c r="K4" t="s">
        <v>16</v>
      </c>
      <c r="L4">
        <v>0</v>
      </c>
    </row>
    <row r="5" spans="1:12" x14ac:dyDescent="0.3">
      <c r="A5">
        <v>48</v>
      </c>
      <c r="B5" t="s">
        <v>17</v>
      </c>
      <c r="C5" t="s">
        <v>21</v>
      </c>
      <c r="D5">
        <v>138</v>
      </c>
      <c r="E5">
        <v>214</v>
      </c>
      <c r="F5">
        <v>0</v>
      </c>
      <c r="G5" t="s">
        <v>14</v>
      </c>
      <c r="H5">
        <v>108</v>
      </c>
      <c r="I5" t="s">
        <v>22</v>
      </c>
      <c r="J5">
        <v>1.5</v>
      </c>
      <c r="K5" t="s">
        <v>19</v>
      </c>
      <c r="L5">
        <v>1</v>
      </c>
    </row>
    <row r="6" spans="1:12" x14ac:dyDescent="0.3">
      <c r="A6">
        <v>54</v>
      </c>
      <c r="B6" t="s">
        <v>12</v>
      </c>
      <c r="C6" t="s">
        <v>18</v>
      </c>
      <c r="D6">
        <v>150</v>
      </c>
      <c r="E6">
        <v>195</v>
      </c>
      <c r="F6">
        <v>0</v>
      </c>
      <c r="G6" t="s">
        <v>14</v>
      </c>
      <c r="H6">
        <v>122</v>
      </c>
      <c r="I6" t="s">
        <v>15</v>
      </c>
      <c r="J6">
        <v>0</v>
      </c>
      <c r="K6" t="s">
        <v>16</v>
      </c>
      <c r="L6">
        <v>0</v>
      </c>
    </row>
    <row r="7" spans="1:12" x14ac:dyDescent="0.3">
      <c r="A7">
        <v>39</v>
      </c>
      <c r="B7" t="s">
        <v>12</v>
      </c>
      <c r="C7" t="s">
        <v>18</v>
      </c>
      <c r="D7">
        <v>120</v>
      </c>
      <c r="E7">
        <v>339</v>
      </c>
      <c r="F7">
        <v>0</v>
      </c>
      <c r="G7" t="s">
        <v>14</v>
      </c>
      <c r="H7">
        <v>170</v>
      </c>
      <c r="I7" t="s">
        <v>15</v>
      </c>
      <c r="J7">
        <v>0</v>
      </c>
      <c r="K7" t="s">
        <v>16</v>
      </c>
      <c r="L7">
        <v>0</v>
      </c>
    </row>
    <row r="8" spans="1:12" x14ac:dyDescent="0.3">
      <c r="A8">
        <v>45</v>
      </c>
      <c r="B8" t="s">
        <v>17</v>
      </c>
      <c r="C8" t="s">
        <v>13</v>
      </c>
      <c r="D8">
        <v>130</v>
      </c>
      <c r="E8">
        <v>237</v>
      </c>
      <c r="F8">
        <v>0</v>
      </c>
      <c r="G8" t="s">
        <v>14</v>
      </c>
      <c r="H8">
        <v>170</v>
      </c>
      <c r="I8" t="s">
        <v>15</v>
      </c>
      <c r="J8">
        <v>0</v>
      </c>
      <c r="K8" t="s">
        <v>16</v>
      </c>
      <c r="L8">
        <v>0</v>
      </c>
    </row>
    <row r="9" spans="1:12" x14ac:dyDescent="0.3">
      <c r="A9">
        <v>54</v>
      </c>
      <c r="B9" t="s">
        <v>12</v>
      </c>
      <c r="C9" t="s">
        <v>13</v>
      </c>
      <c r="D9">
        <v>110</v>
      </c>
      <c r="E9">
        <v>208</v>
      </c>
      <c r="F9">
        <v>0</v>
      </c>
      <c r="G9" t="s">
        <v>14</v>
      </c>
      <c r="H9">
        <v>142</v>
      </c>
      <c r="I9" t="s">
        <v>15</v>
      </c>
      <c r="J9">
        <v>0</v>
      </c>
      <c r="K9" t="s">
        <v>16</v>
      </c>
      <c r="L9">
        <v>0</v>
      </c>
    </row>
    <row r="10" spans="1:12" x14ac:dyDescent="0.3">
      <c r="A10">
        <v>37</v>
      </c>
      <c r="B10" t="s">
        <v>12</v>
      </c>
      <c r="C10" t="s">
        <v>21</v>
      </c>
      <c r="D10">
        <v>140</v>
      </c>
      <c r="E10">
        <v>207</v>
      </c>
      <c r="F10">
        <v>0</v>
      </c>
      <c r="G10" t="s">
        <v>14</v>
      </c>
      <c r="H10">
        <v>130</v>
      </c>
      <c r="I10" t="s">
        <v>22</v>
      </c>
      <c r="J10">
        <v>1.5</v>
      </c>
      <c r="K10" t="s">
        <v>19</v>
      </c>
      <c r="L10">
        <v>1</v>
      </c>
    </row>
    <row r="11" spans="1:12" x14ac:dyDescent="0.3">
      <c r="A11">
        <v>48</v>
      </c>
      <c r="B11" t="s">
        <v>17</v>
      </c>
      <c r="C11" t="s">
        <v>13</v>
      </c>
      <c r="D11">
        <v>120</v>
      </c>
      <c r="E11">
        <v>284</v>
      </c>
      <c r="F11">
        <v>0</v>
      </c>
      <c r="G11" t="s">
        <v>14</v>
      </c>
      <c r="H11">
        <v>120</v>
      </c>
      <c r="I11" t="s">
        <v>15</v>
      </c>
      <c r="J11">
        <v>0</v>
      </c>
      <c r="K11" t="s">
        <v>16</v>
      </c>
      <c r="L11">
        <v>0</v>
      </c>
    </row>
    <row r="12" spans="1:12" x14ac:dyDescent="0.3">
      <c r="A12">
        <v>37</v>
      </c>
      <c r="B12" t="s">
        <v>17</v>
      </c>
      <c r="C12" t="s">
        <v>18</v>
      </c>
      <c r="D12">
        <v>130</v>
      </c>
      <c r="E12">
        <v>211</v>
      </c>
      <c r="F12">
        <v>0</v>
      </c>
      <c r="G12" t="s">
        <v>14</v>
      </c>
      <c r="H12">
        <v>142</v>
      </c>
      <c r="I12" t="s">
        <v>15</v>
      </c>
      <c r="J12">
        <v>0</v>
      </c>
      <c r="K12" t="s">
        <v>16</v>
      </c>
      <c r="L12">
        <v>0</v>
      </c>
    </row>
    <row r="13" spans="1:12" x14ac:dyDescent="0.3">
      <c r="A13">
        <v>58</v>
      </c>
      <c r="B13" t="s">
        <v>12</v>
      </c>
      <c r="C13" t="s">
        <v>13</v>
      </c>
      <c r="D13">
        <v>136</v>
      </c>
      <c r="E13">
        <v>164</v>
      </c>
      <c r="F13">
        <v>0</v>
      </c>
      <c r="G13" t="s">
        <v>20</v>
      </c>
      <c r="H13">
        <v>99</v>
      </c>
      <c r="I13" t="s">
        <v>22</v>
      </c>
      <c r="J13">
        <v>2</v>
      </c>
      <c r="K13" t="s">
        <v>19</v>
      </c>
      <c r="L13">
        <v>1</v>
      </c>
    </row>
    <row r="14" spans="1:12" x14ac:dyDescent="0.3">
      <c r="A14">
        <v>39</v>
      </c>
      <c r="B14" t="s">
        <v>12</v>
      </c>
      <c r="C14" t="s">
        <v>13</v>
      </c>
      <c r="D14">
        <v>120</v>
      </c>
      <c r="E14">
        <v>204</v>
      </c>
      <c r="F14">
        <v>0</v>
      </c>
      <c r="G14" t="s">
        <v>14</v>
      </c>
      <c r="H14">
        <v>145</v>
      </c>
      <c r="I14" t="s">
        <v>15</v>
      </c>
      <c r="J14">
        <v>0</v>
      </c>
      <c r="K14" t="s">
        <v>16</v>
      </c>
      <c r="L14">
        <v>0</v>
      </c>
    </row>
    <row r="15" spans="1:12" x14ac:dyDescent="0.3">
      <c r="A15">
        <v>49</v>
      </c>
      <c r="B15" t="s">
        <v>12</v>
      </c>
      <c r="C15" t="s">
        <v>21</v>
      </c>
      <c r="D15">
        <v>140</v>
      </c>
      <c r="E15">
        <v>234</v>
      </c>
      <c r="F15">
        <v>0</v>
      </c>
      <c r="G15" t="s">
        <v>14</v>
      </c>
      <c r="H15">
        <v>140</v>
      </c>
      <c r="I15" t="s">
        <v>22</v>
      </c>
      <c r="J15">
        <v>1</v>
      </c>
      <c r="K15" t="s">
        <v>19</v>
      </c>
      <c r="L15">
        <v>1</v>
      </c>
    </row>
    <row r="16" spans="1:12" x14ac:dyDescent="0.3">
      <c r="A16">
        <v>42</v>
      </c>
      <c r="B16" t="s">
        <v>17</v>
      </c>
      <c r="C16" t="s">
        <v>18</v>
      </c>
      <c r="D16">
        <v>115</v>
      </c>
      <c r="E16">
        <v>211</v>
      </c>
      <c r="F16">
        <v>0</v>
      </c>
      <c r="G16" t="s">
        <v>20</v>
      </c>
      <c r="H16">
        <v>137</v>
      </c>
      <c r="I16" t="s">
        <v>15</v>
      </c>
      <c r="J16">
        <v>0</v>
      </c>
      <c r="K16" t="s">
        <v>16</v>
      </c>
      <c r="L16">
        <v>0</v>
      </c>
    </row>
    <row r="17" spans="1:12" x14ac:dyDescent="0.3">
      <c r="A17">
        <v>54</v>
      </c>
      <c r="B17" t="s">
        <v>17</v>
      </c>
      <c r="C17" t="s">
        <v>13</v>
      </c>
      <c r="D17">
        <v>120</v>
      </c>
      <c r="E17">
        <v>273</v>
      </c>
      <c r="F17">
        <v>0</v>
      </c>
      <c r="G17" t="s">
        <v>14</v>
      </c>
      <c r="H17">
        <v>150</v>
      </c>
      <c r="I17" t="s">
        <v>15</v>
      </c>
      <c r="J17">
        <v>1.5</v>
      </c>
      <c r="K17" t="s">
        <v>19</v>
      </c>
      <c r="L17">
        <v>0</v>
      </c>
    </row>
    <row r="18" spans="1:12" x14ac:dyDescent="0.3">
      <c r="A18">
        <v>38</v>
      </c>
      <c r="B18" t="s">
        <v>12</v>
      </c>
      <c r="C18" t="s">
        <v>21</v>
      </c>
      <c r="D18">
        <v>110</v>
      </c>
      <c r="E18">
        <v>196</v>
      </c>
      <c r="F18">
        <v>0</v>
      </c>
      <c r="G18" t="s">
        <v>14</v>
      </c>
      <c r="H18">
        <v>166</v>
      </c>
      <c r="I18" t="s">
        <v>15</v>
      </c>
      <c r="J18">
        <v>0</v>
      </c>
      <c r="K18" t="s">
        <v>19</v>
      </c>
      <c r="L18">
        <v>1</v>
      </c>
    </row>
    <row r="19" spans="1:12" x14ac:dyDescent="0.3">
      <c r="A19">
        <v>43</v>
      </c>
      <c r="B19" t="s">
        <v>17</v>
      </c>
      <c r="C19" t="s">
        <v>13</v>
      </c>
      <c r="D19">
        <v>120</v>
      </c>
      <c r="E19">
        <v>201</v>
      </c>
      <c r="F19">
        <v>0</v>
      </c>
      <c r="G19" t="s">
        <v>14</v>
      </c>
      <c r="H19">
        <v>165</v>
      </c>
      <c r="I19" t="s">
        <v>15</v>
      </c>
      <c r="J19">
        <v>0</v>
      </c>
      <c r="K19" t="s">
        <v>16</v>
      </c>
      <c r="L19">
        <v>0</v>
      </c>
    </row>
    <row r="20" spans="1:12" x14ac:dyDescent="0.3">
      <c r="A20">
        <v>60</v>
      </c>
      <c r="B20" t="s">
        <v>12</v>
      </c>
      <c r="C20" t="s">
        <v>21</v>
      </c>
      <c r="D20">
        <v>100</v>
      </c>
      <c r="E20">
        <v>248</v>
      </c>
      <c r="F20">
        <v>0</v>
      </c>
      <c r="G20" t="s">
        <v>14</v>
      </c>
      <c r="H20">
        <v>125</v>
      </c>
      <c r="I20" t="s">
        <v>15</v>
      </c>
      <c r="J20">
        <v>1</v>
      </c>
      <c r="K20" t="s">
        <v>19</v>
      </c>
      <c r="L20">
        <v>1</v>
      </c>
    </row>
    <row r="21" spans="1:12" x14ac:dyDescent="0.3">
      <c r="A21">
        <v>36</v>
      </c>
      <c r="B21" t="s">
        <v>12</v>
      </c>
      <c r="C21" t="s">
        <v>13</v>
      </c>
      <c r="D21">
        <v>120</v>
      </c>
      <c r="E21">
        <v>267</v>
      </c>
      <c r="F21">
        <v>0</v>
      </c>
      <c r="G21" t="s">
        <v>14</v>
      </c>
      <c r="H21">
        <v>160</v>
      </c>
      <c r="I21" t="s">
        <v>15</v>
      </c>
      <c r="J21">
        <v>3</v>
      </c>
      <c r="K21" t="s">
        <v>19</v>
      </c>
      <c r="L21">
        <v>1</v>
      </c>
    </row>
    <row r="22" spans="1:12" x14ac:dyDescent="0.3">
      <c r="A22">
        <v>43</v>
      </c>
      <c r="B22" t="s">
        <v>17</v>
      </c>
      <c r="C22" t="s">
        <v>23</v>
      </c>
      <c r="D22">
        <v>100</v>
      </c>
      <c r="E22">
        <v>223</v>
      </c>
      <c r="F22">
        <v>0</v>
      </c>
      <c r="G22" t="s">
        <v>14</v>
      </c>
      <c r="H22">
        <v>142</v>
      </c>
      <c r="I22" t="s">
        <v>15</v>
      </c>
      <c r="J22">
        <v>0</v>
      </c>
      <c r="K22" t="s">
        <v>16</v>
      </c>
      <c r="L22">
        <v>0</v>
      </c>
    </row>
    <row r="23" spans="1:12" x14ac:dyDescent="0.3">
      <c r="A23">
        <v>44</v>
      </c>
      <c r="B23" t="s">
        <v>12</v>
      </c>
      <c r="C23" t="s">
        <v>13</v>
      </c>
      <c r="D23">
        <v>120</v>
      </c>
      <c r="E23">
        <v>184</v>
      </c>
      <c r="F23">
        <v>0</v>
      </c>
      <c r="G23" t="s">
        <v>14</v>
      </c>
      <c r="H23">
        <v>142</v>
      </c>
      <c r="I23" t="s">
        <v>15</v>
      </c>
      <c r="J23">
        <v>1</v>
      </c>
      <c r="K23" t="s">
        <v>19</v>
      </c>
      <c r="L23">
        <v>0</v>
      </c>
    </row>
    <row r="24" spans="1:12" x14ac:dyDescent="0.3">
      <c r="A24">
        <v>49</v>
      </c>
      <c r="B24" t="s">
        <v>17</v>
      </c>
      <c r="C24" t="s">
        <v>13</v>
      </c>
      <c r="D24">
        <v>124</v>
      </c>
      <c r="E24">
        <v>201</v>
      </c>
      <c r="F24">
        <v>0</v>
      </c>
      <c r="G24" t="s">
        <v>14</v>
      </c>
      <c r="H24">
        <v>164</v>
      </c>
      <c r="I24" t="s">
        <v>15</v>
      </c>
      <c r="J24">
        <v>0</v>
      </c>
      <c r="K24" t="s">
        <v>16</v>
      </c>
      <c r="L24">
        <v>0</v>
      </c>
    </row>
    <row r="25" spans="1:12" x14ac:dyDescent="0.3">
      <c r="A25">
        <v>44</v>
      </c>
      <c r="B25" t="s">
        <v>12</v>
      </c>
      <c r="C25" t="s">
        <v>13</v>
      </c>
      <c r="D25">
        <v>150</v>
      </c>
      <c r="E25">
        <v>288</v>
      </c>
      <c r="F25">
        <v>0</v>
      </c>
      <c r="G25" t="s">
        <v>14</v>
      </c>
      <c r="H25">
        <v>150</v>
      </c>
      <c r="I25" t="s">
        <v>22</v>
      </c>
      <c r="J25">
        <v>3</v>
      </c>
      <c r="K25" t="s">
        <v>19</v>
      </c>
      <c r="L25">
        <v>1</v>
      </c>
    </row>
    <row r="26" spans="1:12" x14ac:dyDescent="0.3">
      <c r="A26">
        <v>40</v>
      </c>
      <c r="B26" t="s">
        <v>12</v>
      </c>
      <c r="C26" t="s">
        <v>18</v>
      </c>
      <c r="D26">
        <v>130</v>
      </c>
      <c r="E26">
        <v>215</v>
      </c>
      <c r="F26">
        <v>0</v>
      </c>
      <c r="G26" t="s">
        <v>14</v>
      </c>
      <c r="H26">
        <v>138</v>
      </c>
      <c r="I26" t="s">
        <v>15</v>
      </c>
      <c r="J26">
        <v>0</v>
      </c>
      <c r="K26" t="s">
        <v>16</v>
      </c>
      <c r="L26">
        <v>0</v>
      </c>
    </row>
    <row r="27" spans="1:12" x14ac:dyDescent="0.3">
      <c r="A27">
        <v>36</v>
      </c>
      <c r="B27" t="s">
        <v>12</v>
      </c>
      <c r="C27" t="s">
        <v>18</v>
      </c>
      <c r="D27">
        <v>130</v>
      </c>
      <c r="E27">
        <v>209</v>
      </c>
      <c r="F27">
        <v>0</v>
      </c>
      <c r="G27" t="s">
        <v>14</v>
      </c>
      <c r="H27">
        <v>178</v>
      </c>
      <c r="I27" t="s">
        <v>15</v>
      </c>
      <c r="J27">
        <v>0</v>
      </c>
      <c r="K27" t="s">
        <v>16</v>
      </c>
      <c r="L27">
        <v>0</v>
      </c>
    </row>
    <row r="28" spans="1:12" x14ac:dyDescent="0.3">
      <c r="A28">
        <v>53</v>
      </c>
      <c r="B28" t="s">
        <v>12</v>
      </c>
      <c r="C28" t="s">
        <v>21</v>
      </c>
      <c r="D28">
        <v>124</v>
      </c>
      <c r="E28">
        <v>260</v>
      </c>
      <c r="F28">
        <v>0</v>
      </c>
      <c r="G28" t="s">
        <v>20</v>
      </c>
      <c r="H28">
        <v>112</v>
      </c>
      <c r="I28" t="s">
        <v>22</v>
      </c>
      <c r="J28">
        <v>3</v>
      </c>
      <c r="K28" t="s">
        <v>19</v>
      </c>
      <c r="L28">
        <v>0</v>
      </c>
    </row>
    <row r="29" spans="1:12" x14ac:dyDescent="0.3">
      <c r="A29">
        <v>52</v>
      </c>
      <c r="B29" t="s">
        <v>12</v>
      </c>
      <c r="C29" t="s">
        <v>13</v>
      </c>
      <c r="D29">
        <v>120</v>
      </c>
      <c r="E29">
        <v>284</v>
      </c>
      <c r="F29">
        <v>0</v>
      </c>
      <c r="G29" t="s">
        <v>14</v>
      </c>
      <c r="H29">
        <v>118</v>
      </c>
      <c r="I29" t="s">
        <v>15</v>
      </c>
      <c r="J29">
        <v>0</v>
      </c>
      <c r="K29" t="s">
        <v>16</v>
      </c>
      <c r="L29">
        <v>0</v>
      </c>
    </row>
    <row r="30" spans="1:12" x14ac:dyDescent="0.3">
      <c r="A30">
        <v>53</v>
      </c>
      <c r="B30" t="s">
        <v>17</v>
      </c>
      <c r="C30" t="s">
        <v>13</v>
      </c>
      <c r="D30">
        <v>113</v>
      </c>
      <c r="E30">
        <v>468</v>
      </c>
      <c r="F30">
        <v>0</v>
      </c>
      <c r="G30" t="s">
        <v>14</v>
      </c>
      <c r="H30">
        <v>127</v>
      </c>
      <c r="I30" t="s">
        <v>15</v>
      </c>
      <c r="J30">
        <v>0</v>
      </c>
      <c r="K30" t="s">
        <v>16</v>
      </c>
      <c r="L30">
        <v>0</v>
      </c>
    </row>
    <row r="31" spans="1:12" x14ac:dyDescent="0.3">
      <c r="A31">
        <v>51</v>
      </c>
      <c r="B31" t="s">
        <v>12</v>
      </c>
      <c r="C31" t="s">
        <v>13</v>
      </c>
      <c r="D31">
        <v>125</v>
      </c>
      <c r="E31">
        <v>188</v>
      </c>
      <c r="F31">
        <v>0</v>
      </c>
      <c r="G31" t="s">
        <v>14</v>
      </c>
      <c r="H31">
        <v>145</v>
      </c>
      <c r="I31" t="s">
        <v>15</v>
      </c>
      <c r="J31">
        <v>0</v>
      </c>
      <c r="K31" t="s">
        <v>16</v>
      </c>
      <c r="L31">
        <v>0</v>
      </c>
    </row>
    <row r="32" spans="1:12" x14ac:dyDescent="0.3">
      <c r="A32">
        <v>53</v>
      </c>
      <c r="B32" t="s">
        <v>12</v>
      </c>
      <c r="C32" t="s">
        <v>18</v>
      </c>
      <c r="D32">
        <v>145</v>
      </c>
      <c r="E32">
        <v>518</v>
      </c>
      <c r="F32">
        <v>0</v>
      </c>
      <c r="G32" t="s">
        <v>14</v>
      </c>
      <c r="H32">
        <v>130</v>
      </c>
      <c r="I32" t="s">
        <v>15</v>
      </c>
      <c r="J32">
        <v>0</v>
      </c>
      <c r="K32" t="s">
        <v>19</v>
      </c>
      <c r="L32">
        <v>1</v>
      </c>
    </row>
    <row r="33" spans="1:12" x14ac:dyDescent="0.3">
      <c r="A33">
        <v>56</v>
      </c>
      <c r="B33" t="s">
        <v>12</v>
      </c>
      <c r="C33" t="s">
        <v>18</v>
      </c>
      <c r="D33">
        <v>130</v>
      </c>
      <c r="E33">
        <v>167</v>
      </c>
      <c r="F33">
        <v>0</v>
      </c>
      <c r="G33" t="s">
        <v>14</v>
      </c>
      <c r="H33">
        <v>114</v>
      </c>
      <c r="I33" t="s">
        <v>15</v>
      </c>
      <c r="J33">
        <v>0</v>
      </c>
      <c r="K33" t="s">
        <v>16</v>
      </c>
      <c r="L33">
        <v>0</v>
      </c>
    </row>
    <row r="34" spans="1:12" x14ac:dyDescent="0.3">
      <c r="A34">
        <v>54</v>
      </c>
      <c r="B34" t="s">
        <v>12</v>
      </c>
      <c r="C34" t="s">
        <v>21</v>
      </c>
      <c r="D34">
        <v>125</v>
      </c>
      <c r="E34">
        <v>224</v>
      </c>
      <c r="F34">
        <v>0</v>
      </c>
      <c r="G34" t="s">
        <v>14</v>
      </c>
      <c r="H34">
        <v>122</v>
      </c>
      <c r="I34" t="s">
        <v>15</v>
      </c>
      <c r="J34">
        <v>2</v>
      </c>
      <c r="K34" t="s">
        <v>19</v>
      </c>
      <c r="L34">
        <v>1</v>
      </c>
    </row>
    <row r="35" spans="1:12" x14ac:dyDescent="0.3">
      <c r="A35">
        <v>41</v>
      </c>
      <c r="B35" t="s">
        <v>12</v>
      </c>
      <c r="C35" t="s">
        <v>21</v>
      </c>
      <c r="D35">
        <v>130</v>
      </c>
      <c r="E35">
        <v>172</v>
      </c>
      <c r="F35">
        <v>0</v>
      </c>
      <c r="G35" t="s">
        <v>20</v>
      </c>
      <c r="H35">
        <v>130</v>
      </c>
      <c r="I35" t="s">
        <v>15</v>
      </c>
      <c r="J35">
        <v>2</v>
      </c>
      <c r="K35" t="s">
        <v>19</v>
      </c>
      <c r="L35">
        <v>1</v>
      </c>
    </row>
    <row r="36" spans="1:12" x14ac:dyDescent="0.3">
      <c r="A36">
        <v>43</v>
      </c>
      <c r="B36" t="s">
        <v>17</v>
      </c>
      <c r="C36" t="s">
        <v>13</v>
      </c>
      <c r="D36">
        <v>150</v>
      </c>
      <c r="E36">
        <v>186</v>
      </c>
      <c r="F36">
        <v>0</v>
      </c>
      <c r="G36" t="s">
        <v>14</v>
      </c>
      <c r="H36">
        <v>154</v>
      </c>
      <c r="I36" t="s">
        <v>15</v>
      </c>
      <c r="J36">
        <v>0</v>
      </c>
      <c r="K36" t="s">
        <v>16</v>
      </c>
      <c r="L36">
        <v>0</v>
      </c>
    </row>
    <row r="37" spans="1:12" x14ac:dyDescent="0.3">
      <c r="A37">
        <v>32</v>
      </c>
      <c r="B37" t="s">
        <v>12</v>
      </c>
      <c r="C37" t="s">
        <v>13</v>
      </c>
      <c r="D37">
        <v>125</v>
      </c>
      <c r="E37">
        <v>254</v>
      </c>
      <c r="F37">
        <v>0</v>
      </c>
      <c r="G37" t="s">
        <v>14</v>
      </c>
      <c r="H37">
        <v>155</v>
      </c>
      <c r="I37" t="s">
        <v>15</v>
      </c>
      <c r="J37">
        <v>0</v>
      </c>
      <c r="K37" t="s">
        <v>16</v>
      </c>
      <c r="L37">
        <v>0</v>
      </c>
    </row>
    <row r="38" spans="1:12" x14ac:dyDescent="0.3">
      <c r="A38">
        <v>65</v>
      </c>
      <c r="B38" t="s">
        <v>12</v>
      </c>
      <c r="C38" t="s">
        <v>21</v>
      </c>
      <c r="D38">
        <v>140</v>
      </c>
      <c r="E38">
        <v>306</v>
      </c>
      <c r="F38">
        <v>1</v>
      </c>
      <c r="G38" t="s">
        <v>14</v>
      </c>
      <c r="H38">
        <v>87</v>
      </c>
      <c r="I38" t="s">
        <v>22</v>
      </c>
      <c r="J38">
        <v>1.5</v>
      </c>
      <c r="K38" t="s">
        <v>19</v>
      </c>
      <c r="L38">
        <v>1</v>
      </c>
    </row>
    <row r="39" spans="1:12" x14ac:dyDescent="0.3">
      <c r="A39">
        <v>41</v>
      </c>
      <c r="B39" t="s">
        <v>17</v>
      </c>
      <c r="C39" t="s">
        <v>13</v>
      </c>
      <c r="D39">
        <v>110</v>
      </c>
      <c r="E39">
        <v>250</v>
      </c>
      <c r="F39">
        <v>0</v>
      </c>
      <c r="G39" t="s">
        <v>20</v>
      </c>
      <c r="H39">
        <v>142</v>
      </c>
      <c r="I39" t="s">
        <v>15</v>
      </c>
      <c r="J39">
        <v>0</v>
      </c>
      <c r="K39" t="s">
        <v>16</v>
      </c>
      <c r="L39">
        <v>0</v>
      </c>
    </row>
    <row r="40" spans="1:12" x14ac:dyDescent="0.3">
      <c r="A40">
        <v>48</v>
      </c>
      <c r="B40" t="s">
        <v>17</v>
      </c>
      <c r="C40" t="s">
        <v>13</v>
      </c>
      <c r="D40">
        <v>120</v>
      </c>
      <c r="E40">
        <v>177</v>
      </c>
      <c r="F40">
        <v>1</v>
      </c>
      <c r="G40" t="s">
        <v>20</v>
      </c>
      <c r="H40">
        <v>148</v>
      </c>
      <c r="I40" t="s">
        <v>15</v>
      </c>
      <c r="J40">
        <v>0</v>
      </c>
      <c r="K40" t="s">
        <v>16</v>
      </c>
      <c r="L40">
        <v>0</v>
      </c>
    </row>
    <row r="41" spans="1:12" x14ac:dyDescent="0.3">
      <c r="A41">
        <v>48</v>
      </c>
      <c r="B41" t="s">
        <v>17</v>
      </c>
      <c r="C41" t="s">
        <v>21</v>
      </c>
      <c r="D41">
        <v>150</v>
      </c>
      <c r="E41">
        <v>227</v>
      </c>
      <c r="F41">
        <v>0</v>
      </c>
      <c r="G41" t="s">
        <v>14</v>
      </c>
      <c r="H41">
        <v>130</v>
      </c>
      <c r="I41" t="s">
        <v>22</v>
      </c>
      <c r="J41">
        <v>1</v>
      </c>
      <c r="K41" t="s">
        <v>19</v>
      </c>
      <c r="L41">
        <v>0</v>
      </c>
    </row>
    <row r="42" spans="1:12" x14ac:dyDescent="0.3">
      <c r="A42">
        <v>54</v>
      </c>
      <c r="B42" t="s">
        <v>17</v>
      </c>
      <c r="C42" t="s">
        <v>13</v>
      </c>
      <c r="D42">
        <v>150</v>
      </c>
      <c r="E42">
        <v>230</v>
      </c>
      <c r="F42">
        <v>0</v>
      </c>
      <c r="G42" t="s">
        <v>14</v>
      </c>
      <c r="H42">
        <v>130</v>
      </c>
      <c r="I42" t="s">
        <v>15</v>
      </c>
      <c r="J42">
        <v>0</v>
      </c>
      <c r="K42" t="s">
        <v>16</v>
      </c>
      <c r="L42">
        <v>0</v>
      </c>
    </row>
    <row r="43" spans="1:12" x14ac:dyDescent="0.3">
      <c r="A43">
        <v>54</v>
      </c>
      <c r="B43" t="s">
        <v>17</v>
      </c>
      <c r="C43" t="s">
        <v>18</v>
      </c>
      <c r="D43">
        <v>130</v>
      </c>
      <c r="E43">
        <v>294</v>
      </c>
      <c r="F43">
        <v>0</v>
      </c>
      <c r="G43" t="s">
        <v>20</v>
      </c>
      <c r="H43">
        <v>100</v>
      </c>
      <c r="I43" t="s">
        <v>22</v>
      </c>
      <c r="J43">
        <v>0</v>
      </c>
      <c r="K43" t="s">
        <v>19</v>
      </c>
      <c r="L43">
        <v>1</v>
      </c>
    </row>
    <row r="44" spans="1:12" x14ac:dyDescent="0.3">
      <c r="A44">
        <v>35</v>
      </c>
      <c r="B44" t="s">
        <v>12</v>
      </c>
      <c r="C44" t="s">
        <v>13</v>
      </c>
      <c r="D44">
        <v>150</v>
      </c>
      <c r="E44">
        <v>264</v>
      </c>
      <c r="F44">
        <v>0</v>
      </c>
      <c r="G44" t="s">
        <v>14</v>
      </c>
      <c r="H44">
        <v>168</v>
      </c>
      <c r="I44" t="s">
        <v>15</v>
      </c>
      <c r="J44">
        <v>0</v>
      </c>
      <c r="K44" t="s">
        <v>16</v>
      </c>
      <c r="L44">
        <v>0</v>
      </c>
    </row>
    <row r="45" spans="1:12" x14ac:dyDescent="0.3">
      <c r="A45">
        <v>52</v>
      </c>
      <c r="B45" t="s">
        <v>12</v>
      </c>
      <c r="C45" t="s">
        <v>18</v>
      </c>
      <c r="D45">
        <v>140</v>
      </c>
      <c r="E45">
        <v>259</v>
      </c>
      <c r="F45">
        <v>0</v>
      </c>
      <c r="G45" t="s">
        <v>20</v>
      </c>
      <c r="H45">
        <v>170</v>
      </c>
      <c r="I45" t="s">
        <v>15</v>
      </c>
      <c r="J45">
        <v>0</v>
      </c>
      <c r="K45" t="s">
        <v>16</v>
      </c>
      <c r="L45">
        <v>0</v>
      </c>
    </row>
    <row r="46" spans="1:12" x14ac:dyDescent="0.3">
      <c r="A46">
        <v>43</v>
      </c>
      <c r="B46" t="s">
        <v>12</v>
      </c>
      <c r="C46" t="s">
        <v>21</v>
      </c>
      <c r="D46">
        <v>120</v>
      </c>
      <c r="E46">
        <v>175</v>
      </c>
      <c r="F46">
        <v>0</v>
      </c>
      <c r="G46" t="s">
        <v>14</v>
      </c>
      <c r="H46">
        <v>120</v>
      </c>
      <c r="I46" t="s">
        <v>22</v>
      </c>
      <c r="J46">
        <v>1</v>
      </c>
      <c r="K46" t="s">
        <v>19</v>
      </c>
      <c r="L46">
        <v>1</v>
      </c>
    </row>
    <row r="47" spans="1:12" x14ac:dyDescent="0.3">
      <c r="A47">
        <v>59</v>
      </c>
      <c r="B47" t="s">
        <v>12</v>
      </c>
      <c r="C47" t="s">
        <v>18</v>
      </c>
      <c r="D47">
        <v>130</v>
      </c>
      <c r="E47">
        <v>318</v>
      </c>
      <c r="F47">
        <v>0</v>
      </c>
      <c r="G47" t="s">
        <v>14</v>
      </c>
      <c r="H47">
        <v>120</v>
      </c>
      <c r="I47" t="s">
        <v>22</v>
      </c>
      <c r="J47">
        <v>1</v>
      </c>
      <c r="K47" t="s">
        <v>19</v>
      </c>
      <c r="L47">
        <v>0</v>
      </c>
    </row>
    <row r="48" spans="1:12" x14ac:dyDescent="0.3">
      <c r="A48">
        <v>37</v>
      </c>
      <c r="B48" t="s">
        <v>12</v>
      </c>
      <c r="C48" t="s">
        <v>21</v>
      </c>
      <c r="D48">
        <v>120</v>
      </c>
      <c r="E48">
        <v>223</v>
      </c>
      <c r="F48">
        <v>0</v>
      </c>
      <c r="G48" t="s">
        <v>14</v>
      </c>
      <c r="H48">
        <v>168</v>
      </c>
      <c r="I48" t="s">
        <v>15</v>
      </c>
      <c r="J48">
        <v>0</v>
      </c>
      <c r="K48" t="s">
        <v>16</v>
      </c>
      <c r="L48">
        <v>0</v>
      </c>
    </row>
    <row r="49" spans="1:12" x14ac:dyDescent="0.3">
      <c r="A49">
        <v>50</v>
      </c>
      <c r="B49" t="s">
        <v>12</v>
      </c>
      <c r="C49" t="s">
        <v>13</v>
      </c>
      <c r="D49">
        <v>140</v>
      </c>
      <c r="E49">
        <v>216</v>
      </c>
      <c r="F49">
        <v>0</v>
      </c>
      <c r="G49" t="s">
        <v>14</v>
      </c>
      <c r="H49">
        <v>170</v>
      </c>
      <c r="I49" t="s">
        <v>15</v>
      </c>
      <c r="J49">
        <v>0</v>
      </c>
      <c r="K49" t="s">
        <v>16</v>
      </c>
      <c r="L49">
        <v>0</v>
      </c>
    </row>
    <row r="50" spans="1:12" x14ac:dyDescent="0.3">
      <c r="A50">
        <v>36</v>
      </c>
      <c r="B50" t="s">
        <v>12</v>
      </c>
      <c r="C50" t="s">
        <v>18</v>
      </c>
      <c r="D50">
        <v>112</v>
      </c>
      <c r="E50">
        <v>340</v>
      </c>
      <c r="F50">
        <v>0</v>
      </c>
      <c r="G50" t="s">
        <v>14</v>
      </c>
      <c r="H50">
        <v>184</v>
      </c>
      <c r="I50" t="s">
        <v>15</v>
      </c>
      <c r="J50">
        <v>1</v>
      </c>
      <c r="K50" t="s">
        <v>19</v>
      </c>
      <c r="L50">
        <v>0</v>
      </c>
    </row>
    <row r="51" spans="1:12" x14ac:dyDescent="0.3">
      <c r="A51">
        <v>41</v>
      </c>
      <c r="B51" t="s">
        <v>12</v>
      </c>
      <c r="C51" t="s">
        <v>21</v>
      </c>
      <c r="D51">
        <v>110</v>
      </c>
      <c r="E51">
        <v>289</v>
      </c>
      <c r="F51">
        <v>0</v>
      </c>
      <c r="G51" t="s">
        <v>14</v>
      </c>
      <c r="H51">
        <v>170</v>
      </c>
      <c r="I51" t="s">
        <v>15</v>
      </c>
      <c r="J51">
        <v>0</v>
      </c>
      <c r="K51" t="s">
        <v>19</v>
      </c>
      <c r="L51">
        <v>1</v>
      </c>
    </row>
    <row r="52" spans="1:12" x14ac:dyDescent="0.3">
      <c r="A52">
        <v>50</v>
      </c>
      <c r="B52" t="s">
        <v>12</v>
      </c>
      <c r="C52" t="s">
        <v>21</v>
      </c>
      <c r="D52">
        <v>130</v>
      </c>
      <c r="E52">
        <v>233</v>
      </c>
      <c r="F52">
        <v>0</v>
      </c>
      <c r="G52" t="s">
        <v>14</v>
      </c>
      <c r="H52">
        <v>121</v>
      </c>
      <c r="I52" t="s">
        <v>22</v>
      </c>
      <c r="J52">
        <v>2</v>
      </c>
      <c r="K52" t="s">
        <v>19</v>
      </c>
      <c r="L52">
        <v>1</v>
      </c>
    </row>
    <row r="53" spans="1:12" x14ac:dyDescent="0.3">
      <c r="A53">
        <v>47</v>
      </c>
      <c r="B53" t="s">
        <v>17</v>
      </c>
      <c r="C53" t="s">
        <v>21</v>
      </c>
      <c r="D53">
        <v>120</v>
      </c>
      <c r="E53">
        <v>205</v>
      </c>
      <c r="F53">
        <v>0</v>
      </c>
      <c r="G53" t="s">
        <v>14</v>
      </c>
      <c r="H53">
        <v>98</v>
      </c>
      <c r="I53" t="s">
        <v>22</v>
      </c>
      <c r="J53">
        <v>2</v>
      </c>
      <c r="K53" t="s">
        <v>19</v>
      </c>
      <c r="L53">
        <v>1</v>
      </c>
    </row>
    <row r="54" spans="1:12" x14ac:dyDescent="0.3">
      <c r="A54">
        <v>45</v>
      </c>
      <c r="B54" t="s">
        <v>12</v>
      </c>
      <c r="C54" t="s">
        <v>13</v>
      </c>
      <c r="D54">
        <v>140</v>
      </c>
      <c r="E54">
        <v>224</v>
      </c>
      <c r="F54">
        <v>1</v>
      </c>
      <c r="G54" t="s">
        <v>14</v>
      </c>
      <c r="H54">
        <v>122</v>
      </c>
      <c r="I54" t="s">
        <v>15</v>
      </c>
      <c r="J54">
        <v>0</v>
      </c>
      <c r="K54" t="s">
        <v>16</v>
      </c>
      <c r="L54">
        <v>0</v>
      </c>
    </row>
    <row r="55" spans="1:12" x14ac:dyDescent="0.3">
      <c r="A55">
        <v>41</v>
      </c>
      <c r="B55" t="s">
        <v>17</v>
      </c>
      <c r="C55" t="s">
        <v>13</v>
      </c>
      <c r="D55">
        <v>130</v>
      </c>
      <c r="E55">
        <v>245</v>
      </c>
      <c r="F55">
        <v>0</v>
      </c>
      <c r="G55" t="s">
        <v>14</v>
      </c>
      <c r="H55">
        <v>150</v>
      </c>
      <c r="I55" t="s">
        <v>15</v>
      </c>
      <c r="J55">
        <v>0</v>
      </c>
      <c r="K55" t="s">
        <v>16</v>
      </c>
      <c r="L55">
        <v>0</v>
      </c>
    </row>
    <row r="56" spans="1:12" x14ac:dyDescent="0.3">
      <c r="A56">
        <v>52</v>
      </c>
      <c r="B56" t="s">
        <v>17</v>
      </c>
      <c r="C56" t="s">
        <v>21</v>
      </c>
      <c r="D56">
        <v>130</v>
      </c>
      <c r="E56">
        <v>180</v>
      </c>
      <c r="F56">
        <v>0</v>
      </c>
      <c r="G56" t="s">
        <v>14</v>
      </c>
      <c r="H56">
        <v>140</v>
      </c>
      <c r="I56" t="s">
        <v>22</v>
      </c>
      <c r="J56">
        <v>1.5</v>
      </c>
      <c r="K56" t="s">
        <v>19</v>
      </c>
      <c r="L56">
        <v>0</v>
      </c>
    </row>
    <row r="57" spans="1:12" x14ac:dyDescent="0.3">
      <c r="A57">
        <v>51</v>
      </c>
      <c r="B57" t="s">
        <v>17</v>
      </c>
      <c r="C57" t="s">
        <v>13</v>
      </c>
      <c r="D57">
        <v>160</v>
      </c>
      <c r="E57">
        <v>194</v>
      </c>
      <c r="F57">
        <v>0</v>
      </c>
      <c r="G57" t="s">
        <v>14</v>
      </c>
      <c r="H57">
        <v>170</v>
      </c>
      <c r="I57" t="s">
        <v>15</v>
      </c>
      <c r="J57">
        <v>0</v>
      </c>
      <c r="K57" t="s">
        <v>16</v>
      </c>
      <c r="L57">
        <v>0</v>
      </c>
    </row>
    <row r="58" spans="1:12" x14ac:dyDescent="0.3">
      <c r="A58">
        <v>31</v>
      </c>
      <c r="B58" t="s">
        <v>12</v>
      </c>
      <c r="C58" t="s">
        <v>21</v>
      </c>
      <c r="D58">
        <v>120</v>
      </c>
      <c r="E58">
        <v>270</v>
      </c>
      <c r="F58">
        <v>0</v>
      </c>
      <c r="G58" t="s">
        <v>14</v>
      </c>
      <c r="H58">
        <v>153</v>
      </c>
      <c r="I58" t="s">
        <v>22</v>
      </c>
      <c r="J58">
        <v>1.5</v>
      </c>
      <c r="K58" t="s">
        <v>19</v>
      </c>
      <c r="L58">
        <v>1</v>
      </c>
    </row>
    <row r="59" spans="1:12" x14ac:dyDescent="0.3">
      <c r="A59">
        <v>58</v>
      </c>
      <c r="B59" t="s">
        <v>12</v>
      </c>
      <c r="C59" t="s">
        <v>18</v>
      </c>
      <c r="D59">
        <v>130</v>
      </c>
      <c r="E59">
        <v>213</v>
      </c>
      <c r="F59">
        <v>0</v>
      </c>
      <c r="G59" t="s">
        <v>20</v>
      </c>
      <c r="H59">
        <v>140</v>
      </c>
      <c r="I59" t="s">
        <v>15</v>
      </c>
      <c r="J59">
        <v>0</v>
      </c>
      <c r="K59" t="s">
        <v>19</v>
      </c>
      <c r="L59">
        <v>1</v>
      </c>
    </row>
    <row r="60" spans="1:12" x14ac:dyDescent="0.3">
      <c r="A60">
        <v>54</v>
      </c>
      <c r="B60" t="s">
        <v>12</v>
      </c>
      <c r="C60" t="s">
        <v>21</v>
      </c>
      <c r="D60">
        <v>150</v>
      </c>
      <c r="E60">
        <v>365</v>
      </c>
      <c r="F60">
        <v>0</v>
      </c>
      <c r="G60" t="s">
        <v>20</v>
      </c>
      <c r="H60">
        <v>134</v>
      </c>
      <c r="I60" t="s">
        <v>15</v>
      </c>
      <c r="J60">
        <v>1</v>
      </c>
      <c r="K60" t="s">
        <v>16</v>
      </c>
      <c r="L60">
        <v>0</v>
      </c>
    </row>
    <row r="61" spans="1:12" x14ac:dyDescent="0.3">
      <c r="A61">
        <v>52</v>
      </c>
      <c r="B61" t="s">
        <v>12</v>
      </c>
      <c r="C61" t="s">
        <v>21</v>
      </c>
      <c r="D61">
        <v>112</v>
      </c>
      <c r="E61">
        <v>342</v>
      </c>
      <c r="F61">
        <v>0</v>
      </c>
      <c r="G61" t="s">
        <v>20</v>
      </c>
      <c r="H61">
        <v>96</v>
      </c>
      <c r="I61" t="s">
        <v>22</v>
      </c>
      <c r="J61">
        <v>1</v>
      </c>
      <c r="K61" t="s">
        <v>19</v>
      </c>
      <c r="L61">
        <v>1</v>
      </c>
    </row>
    <row r="62" spans="1:12" x14ac:dyDescent="0.3">
      <c r="A62">
        <v>49</v>
      </c>
      <c r="B62" t="s">
        <v>12</v>
      </c>
      <c r="C62" t="s">
        <v>13</v>
      </c>
      <c r="D62">
        <v>100</v>
      </c>
      <c r="E62">
        <v>253</v>
      </c>
      <c r="F62">
        <v>0</v>
      </c>
      <c r="G62" t="s">
        <v>14</v>
      </c>
      <c r="H62">
        <v>174</v>
      </c>
      <c r="I62" t="s">
        <v>15</v>
      </c>
      <c r="J62">
        <v>0</v>
      </c>
      <c r="K62" t="s">
        <v>16</v>
      </c>
      <c r="L62">
        <v>0</v>
      </c>
    </row>
    <row r="63" spans="1:12" x14ac:dyDescent="0.3">
      <c r="A63">
        <v>43</v>
      </c>
      <c r="B63" t="s">
        <v>17</v>
      </c>
      <c r="C63" t="s">
        <v>18</v>
      </c>
      <c r="D63">
        <v>150</v>
      </c>
      <c r="E63">
        <v>254</v>
      </c>
      <c r="F63">
        <v>0</v>
      </c>
      <c r="G63" t="s">
        <v>14</v>
      </c>
      <c r="H63">
        <v>175</v>
      </c>
      <c r="I63" t="s">
        <v>15</v>
      </c>
      <c r="J63">
        <v>0</v>
      </c>
      <c r="K63" t="s">
        <v>16</v>
      </c>
      <c r="L63">
        <v>0</v>
      </c>
    </row>
    <row r="64" spans="1:12" x14ac:dyDescent="0.3">
      <c r="A64">
        <v>45</v>
      </c>
      <c r="B64" t="s">
        <v>12</v>
      </c>
      <c r="C64" t="s">
        <v>21</v>
      </c>
      <c r="D64">
        <v>140</v>
      </c>
      <c r="E64">
        <v>224</v>
      </c>
      <c r="F64">
        <v>0</v>
      </c>
      <c r="G64" t="s">
        <v>14</v>
      </c>
      <c r="H64">
        <v>144</v>
      </c>
      <c r="I64" t="s">
        <v>15</v>
      </c>
      <c r="J64">
        <v>0</v>
      </c>
      <c r="K64" t="s">
        <v>16</v>
      </c>
      <c r="L64">
        <v>0</v>
      </c>
    </row>
    <row r="65" spans="1:12" x14ac:dyDescent="0.3">
      <c r="A65">
        <v>46</v>
      </c>
      <c r="B65" t="s">
        <v>12</v>
      </c>
      <c r="C65" t="s">
        <v>21</v>
      </c>
      <c r="D65">
        <v>120</v>
      </c>
      <c r="E65">
        <v>277</v>
      </c>
      <c r="F65">
        <v>0</v>
      </c>
      <c r="G65" t="s">
        <v>14</v>
      </c>
      <c r="H65">
        <v>125</v>
      </c>
      <c r="I65" t="s">
        <v>22</v>
      </c>
      <c r="J65">
        <v>1</v>
      </c>
      <c r="K65" t="s">
        <v>19</v>
      </c>
      <c r="L65">
        <v>1</v>
      </c>
    </row>
    <row r="66" spans="1:12" x14ac:dyDescent="0.3">
      <c r="A66">
        <v>50</v>
      </c>
      <c r="B66" t="s">
        <v>17</v>
      </c>
      <c r="C66" t="s">
        <v>13</v>
      </c>
      <c r="D66">
        <v>110</v>
      </c>
      <c r="E66">
        <v>202</v>
      </c>
      <c r="F66">
        <v>0</v>
      </c>
      <c r="G66" t="s">
        <v>14</v>
      </c>
      <c r="H66">
        <v>145</v>
      </c>
      <c r="I66" t="s">
        <v>15</v>
      </c>
      <c r="J66">
        <v>0</v>
      </c>
      <c r="K66" t="s">
        <v>16</v>
      </c>
      <c r="L66">
        <v>0</v>
      </c>
    </row>
    <row r="67" spans="1:12" x14ac:dyDescent="0.3">
      <c r="A67">
        <v>37</v>
      </c>
      <c r="B67" t="s">
        <v>17</v>
      </c>
      <c r="C67" t="s">
        <v>13</v>
      </c>
      <c r="D67">
        <v>120</v>
      </c>
      <c r="E67">
        <v>260</v>
      </c>
      <c r="F67">
        <v>0</v>
      </c>
      <c r="G67" t="s">
        <v>14</v>
      </c>
      <c r="H67">
        <v>130</v>
      </c>
      <c r="I67" t="s">
        <v>15</v>
      </c>
      <c r="J67">
        <v>0</v>
      </c>
      <c r="K67" t="s">
        <v>16</v>
      </c>
      <c r="L67">
        <v>0</v>
      </c>
    </row>
    <row r="68" spans="1:12" x14ac:dyDescent="0.3">
      <c r="A68">
        <v>45</v>
      </c>
      <c r="B68" t="s">
        <v>17</v>
      </c>
      <c r="C68" t="s">
        <v>21</v>
      </c>
      <c r="D68">
        <v>132</v>
      </c>
      <c r="E68">
        <v>297</v>
      </c>
      <c r="F68">
        <v>0</v>
      </c>
      <c r="G68" t="s">
        <v>14</v>
      </c>
      <c r="H68">
        <v>144</v>
      </c>
      <c r="I68" t="s">
        <v>15</v>
      </c>
      <c r="J68">
        <v>0</v>
      </c>
      <c r="K68" t="s">
        <v>16</v>
      </c>
      <c r="L68">
        <v>0</v>
      </c>
    </row>
    <row r="69" spans="1:12" x14ac:dyDescent="0.3">
      <c r="A69">
        <v>32</v>
      </c>
      <c r="B69" t="s">
        <v>12</v>
      </c>
      <c r="C69" t="s">
        <v>13</v>
      </c>
      <c r="D69">
        <v>110</v>
      </c>
      <c r="E69">
        <v>225</v>
      </c>
      <c r="F69">
        <v>0</v>
      </c>
      <c r="G69" t="s">
        <v>14</v>
      </c>
      <c r="H69">
        <v>184</v>
      </c>
      <c r="I69" t="s">
        <v>15</v>
      </c>
      <c r="J69">
        <v>0</v>
      </c>
      <c r="K69" t="s">
        <v>16</v>
      </c>
      <c r="L69">
        <v>0</v>
      </c>
    </row>
    <row r="70" spans="1:12" x14ac:dyDescent="0.3">
      <c r="A70">
        <v>52</v>
      </c>
      <c r="B70" t="s">
        <v>12</v>
      </c>
      <c r="C70" t="s">
        <v>21</v>
      </c>
      <c r="D70">
        <v>160</v>
      </c>
      <c r="E70">
        <v>246</v>
      </c>
      <c r="F70">
        <v>0</v>
      </c>
      <c r="G70" t="s">
        <v>20</v>
      </c>
      <c r="H70">
        <v>82</v>
      </c>
      <c r="I70" t="s">
        <v>22</v>
      </c>
      <c r="J70">
        <v>4</v>
      </c>
      <c r="K70" t="s">
        <v>19</v>
      </c>
      <c r="L70">
        <v>1</v>
      </c>
    </row>
    <row r="71" spans="1:12" x14ac:dyDescent="0.3">
      <c r="A71">
        <v>44</v>
      </c>
      <c r="B71" t="s">
        <v>12</v>
      </c>
      <c r="C71" t="s">
        <v>21</v>
      </c>
      <c r="D71">
        <v>150</v>
      </c>
      <c r="E71">
        <v>412</v>
      </c>
      <c r="F71">
        <v>0</v>
      </c>
      <c r="G71" t="s">
        <v>14</v>
      </c>
      <c r="H71">
        <v>170</v>
      </c>
      <c r="I71" t="s">
        <v>15</v>
      </c>
      <c r="J71">
        <v>0</v>
      </c>
      <c r="K71" t="s">
        <v>16</v>
      </c>
      <c r="L71">
        <v>0</v>
      </c>
    </row>
    <row r="72" spans="1:12" x14ac:dyDescent="0.3">
      <c r="A72">
        <v>57</v>
      </c>
      <c r="B72" t="s">
        <v>12</v>
      </c>
      <c r="C72" t="s">
        <v>13</v>
      </c>
      <c r="D72">
        <v>140</v>
      </c>
      <c r="E72">
        <v>265</v>
      </c>
      <c r="F72">
        <v>0</v>
      </c>
      <c r="G72" t="s">
        <v>20</v>
      </c>
      <c r="H72">
        <v>145</v>
      </c>
      <c r="I72" t="s">
        <v>22</v>
      </c>
      <c r="J72">
        <v>1</v>
      </c>
      <c r="K72" t="s">
        <v>19</v>
      </c>
      <c r="L72">
        <v>1</v>
      </c>
    </row>
    <row r="73" spans="1:12" x14ac:dyDescent="0.3">
      <c r="A73">
        <v>44</v>
      </c>
      <c r="B73" t="s">
        <v>12</v>
      </c>
      <c r="C73" t="s">
        <v>13</v>
      </c>
      <c r="D73">
        <v>130</v>
      </c>
      <c r="E73">
        <v>215</v>
      </c>
      <c r="F73">
        <v>0</v>
      </c>
      <c r="G73" t="s">
        <v>14</v>
      </c>
      <c r="H73">
        <v>135</v>
      </c>
      <c r="I73" t="s">
        <v>15</v>
      </c>
      <c r="J73">
        <v>0</v>
      </c>
      <c r="K73" t="s">
        <v>16</v>
      </c>
      <c r="L73">
        <v>0</v>
      </c>
    </row>
    <row r="74" spans="1:12" x14ac:dyDescent="0.3">
      <c r="A74">
        <v>52</v>
      </c>
      <c r="B74" t="s">
        <v>12</v>
      </c>
      <c r="C74" t="s">
        <v>21</v>
      </c>
      <c r="D74">
        <v>120</v>
      </c>
      <c r="E74">
        <v>182</v>
      </c>
      <c r="F74">
        <v>0</v>
      </c>
      <c r="G74" t="s">
        <v>14</v>
      </c>
      <c r="H74">
        <v>150</v>
      </c>
      <c r="I74" t="s">
        <v>15</v>
      </c>
      <c r="J74">
        <v>0</v>
      </c>
      <c r="K74" t="s">
        <v>19</v>
      </c>
      <c r="L74">
        <v>1</v>
      </c>
    </row>
    <row r="75" spans="1:12" x14ac:dyDescent="0.3">
      <c r="A75">
        <v>44</v>
      </c>
      <c r="B75" t="s">
        <v>17</v>
      </c>
      <c r="C75" t="s">
        <v>21</v>
      </c>
      <c r="D75">
        <v>120</v>
      </c>
      <c r="E75">
        <v>218</v>
      </c>
      <c r="F75">
        <v>0</v>
      </c>
      <c r="G75" t="s">
        <v>20</v>
      </c>
      <c r="H75">
        <v>115</v>
      </c>
      <c r="I75" t="s">
        <v>15</v>
      </c>
      <c r="J75">
        <v>0</v>
      </c>
      <c r="K75" t="s">
        <v>16</v>
      </c>
      <c r="L75">
        <v>0</v>
      </c>
    </row>
    <row r="76" spans="1:12" x14ac:dyDescent="0.3">
      <c r="A76">
        <v>55</v>
      </c>
      <c r="B76" t="s">
        <v>12</v>
      </c>
      <c r="C76" t="s">
        <v>21</v>
      </c>
      <c r="D76">
        <v>140</v>
      </c>
      <c r="E76">
        <v>268</v>
      </c>
      <c r="F76">
        <v>0</v>
      </c>
      <c r="G76" t="s">
        <v>14</v>
      </c>
      <c r="H76">
        <v>128</v>
      </c>
      <c r="I76" t="s">
        <v>22</v>
      </c>
      <c r="J76">
        <v>1.5</v>
      </c>
      <c r="K76" t="s">
        <v>19</v>
      </c>
      <c r="L76">
        <v>1</v>
      </c>
    </row>
    <row r="77" spans="1:12" x14ac:dyDescent="0.3">
      <c r="A77">
        <v>46</v>
      </c>
      <c r="B77" t="s">
        <v>12</v>
      </c>
      <c r="C77" t="s">
        <v>18</v>
      </c>
      <c r="D77">
        <v>150</v>
      </c>
      <c r="E77">
        <v>163</v>
      </c>
      <c r="F77">
        <v>0</v>
      </c>
      <c r="G77" t="s">
        <v>14</v>
      </c>
      <c r="H77">
        <v>116</v>
      </c>
      <c r="I77" t="s">
        <v>15</v>
      </c>
      <c r="J77">
        <v>0</v>
      </c>
      <c r="K77" t="s">
        <v>16</v>
      </c>
      <c r="L77">
        <v>0</v>
      </c>
    </row>
    <row r="78" spans="1:12" x14ac:dyDescent="0.3">
      <c r="A78">
        <v>32</v>
      </c>
      <c r="B78" t="s">
        <v>12</v>
      </c>
      <c r="C78" t="s">
        <v>21</v>
      </c>
      <c r="D78">
        <v>118</v>
      </c>
      <c r="E78">
        <v>529</v>
      </c>
      <c r="F78">
        <v>0</v>
      </c>
      <c r="G78" t="s">
        <v>14</v>
      </c>
      <c r="H78">
        <v>130</v>
      </c>
      <c r="I78" t="s">
        <v>15</v>
      </c>
      <c r="J78">
        <v>0</v>
      </c>
      <c r="K78" t="s">
        <v>19</v>
      </c>
      <c r="L78">
        <v>1</v>
      </c>
    </row>
    <row r="79" spans="1:12" x14ac:dyDescent="0.3">
      <c r="A79">
        <v>35</v>
      </c>
      <c r="B79" t="s">
        <v>17</v>
      </c>
      <c r="C79" t="s">
        <v>21</v>
      </c>
      <c r="D79">
        <v>140</v>
      </c>
      <c r="E79">
        <v>167</v>
      </c>
      <c r="F79">
        <v>0</v>
      </c>
      <c r="G79" t="s">
        <v>14</v>
      </c>
      <c r="H79">
        <v>150</v>
      </c>
      <c r="I79" t="s">
        <v>15</v>
      </c>
      <c r="J79">
        <v>0</v>
      </c>
      <c r="K79" t="s">
        <v>16</v>
      </c>
      <c r="L79">
        <v>0</v>
      </c>
    </row>
    <row r="80" spans="1:12" x14ac:dyDescent="0.3">
      <c r="A80">
        <v>52</v>
      </c>
      <c r="B80" t="s">
        <v>12</v>
      </c>
      <c r="C80" t="s">
        <v>13</v>
      </c>
      <c r="D80">
        <v>140</v>
      </c>
      <c r="E80">
        <v>100</v>
      </c>
      <c r="F80">
        <v>0</v>
      </c>
      <c r="G80" t="s">
        <v>14</v>
      </c>
      <c r="H80">
        <v>138</v>
      </c>
      <c r="I80" t="s">
        <v>22</v>
      </c>
      <c r="J80">
        <v>0</v>
      </c>
      <c r="K80" t="s">
        <v>16</v>
      </c>
      <c r="L80">
        <v>0</v>
      </c>
    </row>
    <row r="81" spans="1:12" x14ac:dyDescent="0.3">
      <c r="A81">
        <v>49</v>
      </c>
      <c r="B81" t="s">
        <v>12</v>
      </c>
      <c r="C81" t="s">
        <v>21</v>
      </c>
      <c r="D81">
        <v>130</v>
      </c>
      <c r="E81">
        <v>206</v>
      </c>
      <c r="F81">
        <v>0</v>
      </c>
      <c r="G81" t="s">
        <v>14</v>
      </c>
      <c r="H81">
        <v>170</v>
      </c>
      <c r="I81" t="s">
        <v>15</v>
      </c>
      <c r="J81">
        <v>0</v>
      </c>
      <c r="K81" t="s">
        <v>19</v>
      </c>
      <c r="L81">
        <v>1</v>
      </c>
    </row>
    <row r="82" spans="1:12" x14ac:dyDescent="0.3">
      <c r="A82">
        <v>55</v>
      </c>
      <c r="B82" t="s">
        <v>12</v>
      </c>
      <c r="C82" t="s">
        <v>18</v>
      </c>
      <c r="D82">
        <v>110</v>
      </c>
      <c r="E82">
        <v>277</v>
      </c>
      <c r="F82">
        <v>0</v>
      </c>
      <c r="G82" t="s">
        <v>14</v>
      </c>
      <c r="H82">
        <v>160</v>
      </c>
      <c r="I82" t="s">
        <v>15</v>
      </c>
      <c r="J82">
        <v>0</v>
      </c>
      <c r="K82" t="s">
        <v>16</v>
      </c>
      <c r="L82">
        <v>0</v>
      </c>
    </row>
    <row r="83" spans="1:12" x14ac:dyDescent="0.3">
      <c r="A83">
        <v>54</v>
      </c>
      <c r="B83" t="s">
        <v>12</v>
      </c>
      <c r="C83" t="s">
        <v>13</v>
      </c>
      <c r="D83">
        <v>120</v>
      </c>
      <c r="E83">
        <v>238</v>
      </c>
      <c r="F83">
        <v>0</v>
      </c>
      <c r="G83" t="s">
        <v>14</v>
      </c>
      <c r="H83">
        <v>154</v>
      </c>
      <c r="I83" t="s">
        <v>15</v>
      </c>
      <c r="J83">
        <v>0</v>
      </c>
      <c r="K83" t="s">
        <v>16</v>
      </c>
      <c r="L83">
        <v>0</v>
      </c>
    </row>
    <row r="84" spans="1:12" x14ac:dyDescent="0.3">
      <c r="A84">
        <v>63</v>
      </c>
      <c r="B84" t="s">
        <v>12</v>
      </c>
      <c r="C84" t="s">
        <v>21</v>
      </c>
      <c r="D84">
        <v>150</v>
      </c>
      <c r="E84">
        <v>223</v>
      </c>
      <c r="F84">
        <v>0</v>
      </c>
      <c r="G84" t="s">
        <v>14</v>
      </c>
      <c r="H84">
        <v>115</v>
      </c>
      <c r="I84" t="s">
        <v>15</v>
      </c>
      <c r="J84">
        <v>0</v>
      </c>
      <c r="K84" t="s">
        <v>19</v>
      </c>
      <c r="L84">
        <v>1</v>
      </c>
    </row>
    <row r="85" spans="1:12" x14ac:dyDescent="0.3">
      <c r="A85">
        <v>52</v>
      </c>
      <c r="B85" t="s">
        <v>12</v>
      </c>
      <c r="C85" t="s">
        <v>13</v>
      </c>
      <c r="D85">
        <v>160</v>
      </c>
      <c r="E85">
        <v>196</v>
      </c>
      <c r="F85">
        <v>0</v>
      </c>
      <c r="G85" t="s">
        <v>14</v>
      </c>
      <c r="H85">
        <v>165</v>
      </c>
      <c r="I85" t="s">
        <v>15</v>
      </c>
      <c r="J85">
        <v>0</v>
      </c>
      <c r="K85" t="s">
        <v>16</v>
      </c>
      <c r="L85">
        <v>0</v>
      </c>
    </row>
    <row r="86" spans="1:12" x14ac:dyDescent="0.3">
      <c r="A86">
        <v>56</v>
      </c>
      <c r="B86" t="s">
        <v>12</v>
      </c>
      <c r="C86" t="s">
        <v>21</v>
      </c>
      <c r="D86">
        <v>150</v>
      </c>
      <c r="E86">
        <v>213</v>
      </c>
      <c r="F86">
        <v>1</v>
      </c>
      <c r="G86" t="s">
        <v>14</v>
      </c>
      <c r="H86">
        <v>125</v>
      </c>
      <c r="I86" t="s">
        <v>22</v>
      </c>
      <c r="J86">
        <v>1</v>
      </c>
      <c r="K86" t="s">
        <v>19</v>
      </c>
      <c r="L86">
        <v>1</v>
      </c>
    </row>
    <row r="87" spans="1:12" x14ac:dyDescent="0.3">
      <c r="A87">
        <v>66</v>
      </c>
      <c r="B87" t="s">
        <v>12</v>
      </c>
      <c r="C87" t="s">
        <v>21</v>
      </c>
      <c r="D87">
        <v>140</v>
      </c>
      <c r="E87">
        <v>139</v>
      </c>
      <c r="F87">
        <v>0</v>
      </c>
      <c r="G87" t="s">
        <v>14</v>
      </c>
      <c r="H87">
        <v>94</v>
      </c>
      <c r="I87" t="s">
        <v>22</v>
      </c>
      <c r="J87">
        <v>1</v>
      </c>
      <c r="K87" t="s">
        <v>19</v>
      </c>
      <c r="L87">
        <v>1</v>
      </c>
    </row>
    <row r="88" spans="1:12" x14ac:dyDescent="0.3">
      <c r="A88">
        <v>65</v>
      </c>
      <c r="B88" t="s">
        <v>12</v>
      </c>
      <c r="C88" t="s">
        <v>21</v>
      </c>
      <c r="D88">
        <v>170</v>
      </c>
      <c r="E88">
        <v>263</v>
      </c>
      <c r="F88">
        <v>1</v>
      </c>
      <c r="G88" t="s">
        <v>14</v>
      </c>
      <c r="H88">
        <v>112</v>
      </c>
      <c r="I88" t="s">
        <v>22</v>
      </c>
      <c r="J88">
        <v>2</v>
      </c>
      <c r="K88" t="s">
        <v>19</v>
      </c>
      <c r="L88">
        <v>1</v>
      </c>
    </row>
    <row r="89" spans="1:12" x14ac:dyDescent="0.3">
      <c r="A89">
        <v>53</v>
      </c>
      <c r="B89" t="s">
        <v>17</v>
      </c>
      <c r="C89" t="s">
        <v>13</v>
      </c>
      <c r="D89">
        <v>140</v>
      </c>
      <c r="E89">
        <v>216</v>
      </c>
      <c r="F89">
        <v>0</v>
      </c>
      <c r="G89" t="s">
        <v>14</v>
      </c>
      <c r="H89">
        <v>142</v>
      </c>
      <c r="I89" t="s">
        <v>22</v>
      </c>
      <c r="J89">
        <v>2</v>
      </c>
      <c r="K89" t="s">
        <v>19</v>
      </c>
      <c r="L89">
        <v>0</v>
      </c>
    </row>
    <row r="90" spans="1:12" x14ac:dyDescent="0.3">
      <c r="A90">
        <v>43</v>
      </c>
      <c r="B90" t="s">
        <v>12</v>
      </c>
      <c r="C90" t="s">
        <v>23</v>
      </c>
      <c r="D90">
        <v>120</v>
      </c>
      <c r="E90">
        <v>291</v>
      </c>
      <c r="F90">
        <v>0</v>
      </c>
      <c r="G90" t="s">
        <v>20</v>
      </c>
      <c r="H90">
        <v>155</v>
      </c>
      <c r="I90" t="s">
        <v>15</v>
      </c>
      <c r="J90">
        <v>0</v>
      </c>
      <c r="K90" t="s">
        <v>19</v>
      </c>
      <c r="L90">
        <v>1</v>
      </c>
    </row>
    <row r="91" spans="1:12" x14ac:dyDescent="0.3">
      <c r="A91">
        <v>55</v>
      </c>
      <c r="B91" t="s">
        <v>12</v>
      </c>
      <c r="C91" t="s">
        <v>21</v>
      </c>
      <c r="D91">
        <v>140</v>
      </c>
      <c r="E91">
        <v>229</v>
      </c>
      <c r="F91">
        <v>0</v>
      </c>
      <c r="G91" t="s">
        <v>14</v>
      </c>
      <c r="H91">
        <v>110</v>
      </c>
      <c r="I91" t="s">
        <v>22</v>
      </c>
      <c r="J91">
        <v>0.5</v>
      </c>
      <c r="K91" t="s">
        <v>19</v>
      </c>
      <c r="L91">
        <v>0</v>
      </c>
    </row>
    <row r="92" spans="1:12" x14ac:dyDescent="0.3">
      <c r="A92">
        <v>49</v>
      </c>
      <c r="B92" t="s">
        <v>17</v>
      </c>
      <c r="C92" t="s">
        <v>13</v>
      </c>
      <c r="D92">
        <v>110</v>
      </c>
      <c r="E92">
        <v>208</v>
      </c>
      <c r="F92">
        <v>0</v>
      </c>
      <c r="G92" t="s">
        <v>14</v>
      </c>
      <c r="H92">
        <v>160</v>
      </c>
      <c r="I92" t="s">
        <v>15</v>
      </c>
      <c r="J92">
        <v>0</v>
      </c>
      <c r="K92" t="s">
        <v>16</v>
      </c>
      <c r="L92">
        <v>0</v>
      </c>
    </row>
    <row r="93" spans="1:12" x14ac:dyDescent="0.3">
      <c r="A93">
        <v>39</v>
      </c>
      <c r="B93" t="s">
        <v>12</v>
      </c>
      <c r="C93" t="s">
        <v>21</v>
      </c>
      <c r="D93">
        <v>130</v>
      </c>
      <c r="E93">
        <v>307</v>
      </c>
      <c r="F93">
        <v>0</v>
      </c>
      <c r="G93" t="s">
        <v>14</v>
      </c>
      <c r="H93">
        <v>140</v>
      </c>
      <c r="I93" t="s">
        <v>15</v>
      </c>
      <c r="J93">
        <v>0</v>
      </c>
      <c r="K93" t="s">
        <v>16</v>
      </c>
      <c r="L93">
        <v>0</v>
      </c>
    </row>
    <row r="94" spans="1:12" x14ac:dyDescent="0.3">
      <c r="A94">
        <v>52</v>
      </c>
      <c r="B94" t="s">
        <v>17</v>
      </c>
      <c r="C94" t="s">
        <v>13</v>
      </c>
      <c r="D94">
        <v>120</v>
      </c>
      <c r="E94">
        <v>210</v>
      </c>
      <c r="F94">
        <v>0</v>
      </c>
      <c r="G94" t="s">
        <v>14</v>
      </c>
      <c r="H94">
        <v>148</v>
      </c>
      <c r="I94" t="s">
        <v>15</v>
      </c>
      <c r="J94">
        <v>0</v>
      </c>
      <c r="K94" t="s">
        <v>16</v>
      </c>
      <c r="L94">
        <v>0</v>
      </c>
    </row>
    <row r="95" spans="1:12" x14ac:dyDescent="0.3">
      <c r="A95">
        <v>48</v>
      </c>
      <c r="B95" t="s">
        <v>12</v>
      </c>
      <c r="C95" t="s">
        <v>21</v>
      </c>
      <c r="D95">
        <v>160</v>
      </c>
      <c r="E95">
        <v>329</v>
      </c>
      <c r="F95">
        <v>0</v>
      </c>
      <c r="G95" t="s">
        <v>14</v>
      </c>
      <c r="H95">
        <v>92</v>
      </c>
      <c r="I95" t="s">
        <v>22</v>
      </c>
      <c r="J95">
        <v>1.5</v>
      </c>
      <c r="K95" t="s">
        <v>19</v>
      </c>
      <c r="L95">
        <v>1</v>
      </c>
    </row>
    <row r="96" spans="1:12" x14ac:dyDescent="0.3">
      <c r="A96">
        <v>39</v>
      </c>
      <c r="B96" t="s">
        <v>17</v>
      </c>
      <c r="C96" t="s">
        <v>18</v>
      </c>
      <c r="D96">
        <v>110</v>
      </c>
      <c r="E96">
        <v>182</v>
      </c>
      <c r="F96">
        <v>0</v>
      </c>
      <c r="G96" t="s">
        <v>20</v>
      </c>
      <c r="H96">
        <v>180</v>
      </c>
      <c r="I96" t="s">
        <v>15</v>
      </c>
      <c r="J96">
        <v>0</v>
      </c>
      <c r="K96" t="s">
        <v>16</v>
      </c>
      <c r="L96">
        <v>0</v>
      </c>
    </row>
    <row r="97" spans="1:12" x14ac:dyDescent="0.3">
      <c r="A97">
        <v>58</v>
      </c>
      <c r="B97" t="s">
        <v>12</v>
      </c>
      <c r="C97" t="s">
        <v>21</v>
      </c>
      <c r="D97">
        <v>130</v>
      </c>
      <c r="E97">
        <v>263</v>
      </c>
      <c r="F97">
        <v>0</v>
      </c>
      <c r="G97" t="s">
        <v>14</v>
      </c>
      <c r="H97">
        <v>140</v>
      </c>
      <c r="I97" t="s">
        <v>22</v>
      </c>
      <c r="J97">
        <v>2</v>
      </c>
      <c r="K97" t="s">
        <v>19</v>
      </c>
      <c r="L97">
        <v>1</v>
      </c>
    </row>
    <row r="98" spans="1:12" x14ac:dyDescent="0.3">
      <c r="A98">
        <v>43</v>
      </c>
      <c r="B98" t="s">
        <v>12</v>
      </c>
      <c r="C98" t="s">
        <v>13</v>
      </c>
      <c r="D98">
        <v>142</v>
      </c>
      <c r="E98">
        <v>207</v>
      </c>
      <c r="F98">
        <v>0</v>
      </c>
      <c r="G98" t="s">
        <v>14</v>
      </c>
      <c r="H98">
        <v>138</v>
      </c>
      <c r="I98" t="s">
        <v>15</v>
      </c>
      <c r="J98">
        <v>0</v>
      </c>
      <c r="K98" t="s">
        <v>16</v>
      </c>
      <c r="L98">
        <v>0</v>
      </c>
    </row>
    <row r="99" spans="1:12" x14ac:dyDescent="0.3">
      <c r="A99">
        <v>39</v>
      </c>
      <c r="B99" t="s">
        <v>12</v>
      </c>
      <c r="C99" t="s">
        <v>18</v>
      </c>
      <c r="D99">
        <v>160</v>
      </c>
      <c r="E99">
        <v>147</v>
      </c>
      <c r="F99">
        <v>1</v>
      </c>
      <c r="G99" t="s">
        <v>14</v>
      </c>
      <c r="H99">
        <v>160</v>
      </c>
      <c r="I99" t="s">
        <v>15</v>
      </c>
      <c r="J99">
        <v>0</v>
      </c>
      <c r="K99" t="s">
        <v>16</v>
      </c>
      <c r="L99">
        <v>0</v>
      </c>
    </row>
    <row r="100" spans="1:12" x14ac:dyDescent="0.3">
      <c r="A100">
        <v>56</v>
      </c>
      <c r="B100" t="s">
        <v>12</v>
      </c>
      <c r="C100" t="s">
        <v>21</v>
      </c>
      <c r="D100">
        <v>120</v>
      </c>
      <c r="E100">
        <v>85</v>
      </c>
      <c r="F100">
        <v>0</v>
      </c>
      <c r="G100" t="s">
        <v>14</v>
      </c>
      <c r="H100">
        <v>140</v>
      </c>
      <c r="I100" t="s">
        <v>15</v>
      </c>
      <c r="J100">
        <v>0</v>
      </c>
      <c r="K100" t="s">
        <v>16</v>
      </c>
      <c r="L100">
        <v>0</v>
      </c>
    </row>
    <row r="101" spans="1:12" x14ac:dyDescent="0.3">
      <c r="A101">
        <v>41</v>
      </c>
      <c r="B101" t="s">
        <v>12</v>
      </c>
      <c r="C101" t="s">
        <v>13</v>
      </c>
      <c r="D101">
        <v>125</v>
      </c>
      <c r="E101">
        <v>269</v>
      </c>
      <c r="F101">
        <v>0</v>
      </c>
      <c r="G101" t="s">
        <v>14</v>
      </c>
      <c r="H101">
        <v>144</v>
      </c>
      <c r="I101" t="s">
        <v>15</v>
      </c>
      <c r="J101">
        <v>0</v>
      </c>
      <c r="K101" t="s">
        <v>16</v>
      </c>
      <c r="L101">
        <v>0</v>
      </c>
    </row>
    <row r="102" spans="1:12" x14ac:dyDescent="0.3">
      <c r="A102">
        <v>65</v>
      </c>
      <c r="B102" t="s">
        <v>12</v>
      </c>
      <c r="C102" t="s">
        <v>21</v>
      </c>
      <c r="D102">
        <v>130</v>
      </c>
      <c r="E102">
        <v>275</v>
      </c>
      <c r="F102">
        <v>0</v>
      </c>
      <c r="G102" t="s">
        <v>20</v>
      </c>
      <c r="H102">
        <v>115</v>
      </c>
      <c r="I102" t="s">
        <v>22</v>
      </c>
      <c r="J102">
        <v>1</v>
      </c>
      <c r="K102" t="s">
        <v>19</v>
      </c>
      <c r="L102">
        <v>1</v>
      </c>
    </row>
    <row r="103" spans="1:12" x14ac:dyDescent="0.3">
      <c r="A103">
        <v>51</v>
      </c>
      <c r="B103" t="s">
        <v>12</v>
      </c>
      <c r="C103" t="s">
        <v>21</v>
      </c>
      <c r="D103">
        <v>130</v>
      </c>
      <c r="E103">
        <v>179</v>
      </c>
      <c r="F103">
        <v>0</v>
      </c>
      <c r="G103" t="s">
        <v>14</v>
      </c>
      <c r="H103">
        <v>100</v>
      </c>
      <c r="I103" t="s">
        <v>15</v>
      </c>
      <c r="J103">
        <v>0</v>
      </c>
      <c r="K103" t="s">
        <v>16</v>
      </c>
      <c r="L103">
        <v>0</v>
      </c>
    </row>
    <row r="104" spans="1:12" x14ac:dyDescent="0.3">
      <c r="A104">
        <v>40</v>
      </c>
      <c r="B104" t="s">
        <v>17</v>
      </c>
      <c r="C104" t="s">
        <v>21</v>
      </c>
      <c r="D104">
        <v>150</v>
      </c>
      <c r="E104">
        <v>392</v>
      </c>
      <c r="F104">
        <v>0</v>
      </c>
      <c r="G104" t="s">
        <v>14</v>
      </c>
      <c r="H104">
        <v>130</v>
      </c>
      <c r="I104" t="s">
        <v>15</v>
      </c>
      <c r="J104">
        <v>2</v>
      </c>
      <c r="K104" t="s">
        <v>19</v>
      </c>
      <c r="L104">
        <v>1</v>
      </c>
    </row>
    <row r="105" spans="1:12" x14ac:dyDescent="0.3">
      <c r="A105">
        <v>40</v>
      </c>
      <c r="B105" t="s">
        <v>12</v>
      </c>
      <c r="C105" t="s">
        <v>21</v>
      </c>
      <c r="D105">
        <v>120</v>
      </c>
      <c r="E105">
        <v>466</v>
      </c>
      <c r="F105">
        <v>1</v>
      </c>
      <c r="G105" t="s">
        <v>14</v>
      </c>
      <c r="H105">
        <v>152</v>
      </c>
      <c r="I105" t="s">
        <v>22</v>
      </c>
      <c r="J105">
        <v>1</v>
      </c>
      <c r="K105" t="s">
        <v>19</v>
      </c>
      <c r="L105">
        <v>1</v>
      </c>
    </row>
    <row r="106" spans="1:12" x14ac:dyDescent="0.3">
      <c r="A106">
        <v>46</v>
      </c>
      <c r="B106" t="s">
        <v>12</v>
      </c>
      <c r="C106" t="s">
        <v>21</v>
      </c>
      <c r="D106">
        <v>118</v>
      </c>
      <c r="E106">
        <v>186</v>
      </c>
      <c r="F106">
        <v>0</v>
      </c>
      <c r="G106" t="s">
        <v>14</v>
      </c>
      <c r="H106">
        <v>124</v>
      </c>
      <c r="I106" t="s">
        <v>15</v>
      </c>
      <c r="J106">
        <v>0</v>
      </c>
      <c r="K106" t="s">
        <v>19</v>
      </c>
      <c r="L106">
        <v>1</v>
      </c>
    </row>
    <row r="107" spans="1:12" x14ac:dyDescent="0.3">
      <c r="A107">
        <v>57</v>
      </c>
      <c r="B107" t="s">
        <v>12</v>
      </c>
      <c r="C107" t="s">
        <v>13</v>
      </c>
      <c r="D107">
        <v>140</v>
      </c>
      <c r="E107">
        <v>260</v>
      </c>
      <c r="F107">
        <v>1</v>
      </c>
      <c r="G107" t="s">
        <v>14</v>
      </c>
      <c r="H107">
        <v>140</v>
      </c>
      <c r="I107" t="s">
        <v>15</v>
      </c>
      <c r="J107">
        <v>0</v>
      </c>
      <c r="K107" t="s">
        <v>16</v>
      </c>
      <c r="L107">
        <v>0</v>
      </c>
    </row>
    <row r="108" spans="1:12" x14ac:dyDescent="0.3">
      <c r="A108">
        <v>48</v>
      </c>
      <c r="B108" t="s">
        <v>17</v>
      </c>
      <c r="C108" t="s">
        <v>21</v>
      </c>
      <c r="D108">
        <v>120</v>
      </c>
      <c r="E108">
        <v>254</v>
      </c>
      <c r="F108">
        <v>0</v>
      </c>
      <c r="G108" t="s">
        <v>20</v>
      </c>
      <c r="H108">
        <v>110</v>
      </c>
      <c r="I108" t="s">
        <v>15</v>
      </c>
      <c r="J108">
        <v>0</v>
      </c>
      <c r="K108" t="s">
        <v>16</v>
      </c>
      <c r="L108">
        <v>0</v>
      </c>
    </row>
    <row r="109" spans="1:12" x14ac:dyDescent="0.3">
      <c r="A109">
        <v>34</v>
      </c>
      <c r="B109" t="s">
        <v>12</v>
      </c>
      <c r="C109" t="s">
        <v>13</v>
      </c>
      <c r="D109">
        <v>150</v>
      </c>
      <c r="E109">
        <v>214</v>
      </c>
      <c r="F109">
        <v>0</v>
      </c>
      <c r="G109" t="s">
        <v>20</v>
      </c>
      <c r="H109">
        <v>168</v>
      </c>
      <c r="I109" t="s">
        <v>15</v>
      </c>
      <c r="J109">
        <v>0</v>
      </c>
      <c r="K109" t="s">
        <v>16</v>
      </c>
      <c r="L109">
        <v>0</v>
      </c>
    </row>
    <row r="110" spans="1:12" x14ac:dyDescent="0.3">
      <c r="A110">
        <v>50</v>
      </c>
      <c r="B110" t="s">
        <v>12</v>
      </c>
      <c r="C110" t="s">
        <v>21</v>
      </c>
      <c r="D110">
        <v>140</v>
      </c>
      <c r="E110">
        <v>129</v>
      </c>
      <c r="F110">
        <v>0</v>
      </c>
      <c r="G110" t="s">
        <v>14</v>
      </c>
      <c r="H110">
        <v>135</v>
      </c>
      <c r="I110" t="s">
        <v>15</v>
      </c>
      <c r="J110">
        <v>0</v>
      </c>
      <c r="K110" t="s">
        <v>16</v>
      </c>
      <c r="L110">
        <v>0</v>
      </c>
    </row>
    <row r="111" spans="1:12" x14ac:dyDescent="0.3">
      <c r="A111">
        <v>39</v>
      </c>
      <c r="B111" t="s">
        <v>12</v>
      </c>
      <c r="C111" t="s">
        <v>13</v>
      </c>
      <c r="D111">
        <v>190</v>
      </c>
      <c r="E111">
        <v>241</v>
      </c>
      <c r="F111">
        <v>0</v>
      </c>
      <c r="G111" t="s">
        <v>14</v>
      </c>
      <c r="H111">
        <v>106</v>
      </c>
      <c r="I111" t="s">
        <v>15</v>
      </c>
      <c r="J111">
        <v>0</v>
      </c>
      <c r="K111" t="s">
        <v>16</v>
      </c>
      <c r="L111">
        <v>0</v>
      </c>
    </row>
    <row r="112" spans="1:12" x14ac:dyDescent="0.3">
      <c r="A112">
        <v>59</v>
      </c>
      <c r="B112" t="s">
        <v>17</v>
      </c>
      <c r="C112" t="s">
        <v>13</v>
      </c>
      <c r="D112">
        <v>130</v>
      </c>
      <c r="E112">
        <v>188</v>
      </c>
      <c r="F112">
        <v>0</v>
      </c>
      <c r="G112" t="s">
        <v>14</v>
      </c>
      <c r="H112">
        <v>124</v>
      </c>
      <c r="I112" t="s">
        <v>15</v>
      </c>
      <c r="J112">
        <v>1</v>
      </c>
      <c r="K112" t="s">
        <v>19</v>
      </c>
      <c r="L112">
        <v>0</v>
      </c>
    </row>
    <row r="113" spans="1:12" x14ac:dyDescent="0.3">
      <c r="A113">
        <v>57</v>
      </c>
      <c r="B113" t="s">
        <v>12</v>
      </c>
      <c r="C113" t="s">
        <v>21</v>
      </c>
      <c r="D113">
        <v>150</v>
      </c>
      <c r="E113">
        <v>255</v>
      </c>
      <c r="F113">
        <v>0</v>
      </c>
      <c r="G113" t="s">
        <v>14</v>
      </c>
      <c r="H113">
        <v>92</v>
      </c>
      <c r="I113" t="s">
        <v>22</v>
      </c>
      <c r="J113">
        <v>3</v>
      </c>
      <c r="K113" t="s">
        <v>19</v>
      </c>
      <c r="L113">
        <v>1</v>
      </c>
    </row>
    <row r="114" spans="1:12" x14ac:dyDescent="0.3">
      <c r="A114">
        <v>47</v>
      </c>
      <c r="B114" t="s">
        <v>12</v>
      </c>
      <c r="C114" t="s">
        <v>21</v>
      </c>
      <c r="D114">
        <v>140</v>
      </c>
      <c r="E114">
        <v>276</v>
      </c>
      <c r="F114">
        <v>1</v>
      </c>
      <c r="G114" t="s">
        <v>14</v>
      </c>
      <c r="H114">
        <v>125</v>
      </c>
      <c r="I114" t="s">
        <v>22</v>
      </c>
      <c r="J114">
        <v>0</v>
      </c>
      <c r="K114" t="s">
        <v>16</v>
      </c>
      <c r="L114">
        <v>0</v>
      </c>
    </row>
    <row r="115" spans="1:12" x14ac:dyDescent="0.3">
      <c r="A115">
        <v>38</v>
      </c>
      <c r="B115" t="s">
        <v>12</v>
      </c>
      <c r="C115" t="s">
        <v>13</v>
      </c>
      <c r="D115">
        <v>140</v>
      </c>
      <c r="E115">
        <v>297</v>
      </c>
      <c r="F115">
        <v>0</v>
      </c>
      <c r="G115" t="s">
        <v>14</v>
      </c>
      <c r="H115">
        <v>150</v>
      </c>
      <c r="I115" t="s">
        <v>15</v>
      </c>
      <c r="J115">
        <v>0</v>
      </c>
      <c r="K115" t="s">
        <v>16</v>
      </c>
      <c r="L115">
        <v>0</v>
      </c>
    </row>
    <row r="116" spans="1:12" x14ac:dyDescent="0.3">
      <c r="A116">
        <v>49</v>
      </c>
      <c r="B116" t="s">
        <v>17</v>
      </c>
      <c r="C116" t="s">
        <v>18</v>
      </c>
      <c r="D116">
        <v>130</v>
      </c>
      <c r="E116">
        <v>207</v>
      </c>
      <c r="F116">
        <v>0</v>
      </c>
      <c r="G116" t="s">
        <v>20</v>
      </c>
      <c r="H116">
        <v>135</v>
      </c>
      <c r="I116" t="s">
        <v>15</v>
      </c>
      <c r="J116">
        <v>0</v>
      </c>
      <c r="K116" t="s">
        <v>16</v>
      </c>
      <c r="L116">
        <v>0</v>
      </c>
    </row>
    <row r="117" spans="1:12" x14ac:dyDescent="0.3">
      <c r="A117">
        <v>33</v>
      </c>
      <c r="B117" t="s">
        <v>17</v>
      </c>
      <c r="C117" t="s">
        <v>21</v>
      </c>
      <c r="D117">
        <v>100</v>
      </c>
      <c r="E117">
        <v>246</v>
      </c>
      <c r="F117">
        <v>0</v>
      </c>
      <c r="G117" t="s">
        <v>14</v>
      </c>
      <c r="H117">
        <v>150</v>
      </c>
      <c r="I117" t="s">
        <v>22</v>
      </c>
      <c r="J117">
        <v>1</v>
      </c>
      <c r="K117" t="s">
        <v>19</v>
      </c>
      <c r="L117">
        <v>1</v>
      </c>
    </row>
    <row r="118" spans="1:12" x14ac:dyDescent="0.3">
      <c r="A118">
        <v>38</v>
      </c>
      <c r="B118" t="s">
        <v>12</v>
      </c>
      <c r="C118" t="s">
        <v>21</v>
      </c>
      <c r="D118">
        <v>120</v>
      </c>
      <c r="E118">
        <v>282</v>
      </c>
      <c r="F118">
        <v>0</v>
      </c>
      <c r="G118" t="s">
        <v>14</v>
      </c>
      <c r="H118">
        <v>170</v>
      </c>
      <c r="I118" t="s">
        <v>15</v>
      </c>
      <c r="J118">
        <v>0</v>
      </c>
      <c r="K118" t="s">
        <v>19</v>
      </c>
      <c r="L118">
        <v>1</v>
      </c>
    </row>
    <row r="119" spans="1:12" x14ac:dyDescent="0.3">
      <c r="A119">
        <v>59</v>
      </c>
      <c r="B119" t="s">
        <v>17</v>
      </c>
      <c r="C119" t="s">
        <v>21</v>
      </c>
      <c r="D119">
        <v>130</v>
      </c>
      <c r="E119">
        <v>338</v>
      </c>
      <c r="F119">
        <v>1</v>
      </c>
      <c r="G119" t="s">
        <v>20</v>
      </c>
      <c r="H119">
        <v>130</v>
      </c>
      <c r="I119" t="s">
        <v>22</v>
      </c>
      <c r="J119">
        <v>1.5</v>
      </c>
      <c r="K119" t="s">
        <v>19</v>
      </c>
      <c r="L119">
        <v>1</v>
      </c>
    </row>
    <row r="120" spans="1:12" x14ac:dyDescent="0.3">
      <c r="A120">
        <v>35</v>
      </c>
      <c r="B120" t="s">
        <v>17</v>
      </c>
      <c r="C120" t="s">
        <v>23</v>
      </c>
      <c r="D120">
        <v>120</v>
      </c>
      <c r="E120">
        <v>160</v>
      </c>
      <c r="F120">
        <v>0</v>
      </c>
      <c r="G120" t="s">
        <v>20</v>
      </c>
      <c r="H120">
        <v>185</v>
      </c>
      <c r="I120" t="s">
        <v>15</v>
      </c>
      <c r="J120">
        <v>0</v>
      </c>
      <c r="K120" t="s">
        <v>16</v>
      </c>
      <c r="L120">
        <v>0</v>
      </c>
    </row>
    <row r="121" spans="1:12" x14ac:dyDescent="0.3">
      <c r="A121">
        <v>34</v>
      </c>
      <c r="B121" t="s">
        <v>12</v>
      </c>
      <c r="C121" t="s">
        <v>23</v>
      </c>
      <c r="D121">
        <v>140</v>
      </c>
      <c r="E121">
        <v>156</v>
      </c>
      <c r="F121">
        <v>0</v>
      </c>
      <c r="G121" t="s">
        <v>14</v>
      </c>
      <c r="H121">
        <v>180</v>
      </c>
      <c r="I121" t="s">
        <v>15</v>
      </c>
      <c r="J121">
        <v>0</v>
      </c>
      <c r="K121" t="s">
        <v>19</v>
      </c>
      <c r="L121">
        <v>1</v>
      </c>
    </row>
    <row r="122" spans="1:12" x14ac:dyDescent="0.3">
      <c r="A122">
        <v>47</v>
      </c>
      <c r="B122" t="s">
        <v>17</v>
      </c>
      <c r="C122" t="s">
        <v>18</v>
      </c>
      <c r="D122">
        <v>135</v>
      </c>
      <c r="E122">
        <v>248</v>
      </c>
      <c r="F122">
        <v>1</v>
      </c>
      <c r="G122" t="s">
        <v>14</v>
      </c>
      <c r="H122">
        <v>170</v>
      </c>
      <c r="I122" t="s">
        <v>15</v>
      </c>
      <c r="J122">
        <v>0</v>
      </c>
      <c r="K122" t="s">
        <v>19</v>
      </c>
      <c r="L122">
        <v>1</v>
      </c>
    </row>
    <row r="123" spans="1:12" x14ac:dyDescent="0.3">
      <c r="A123">
        <v>52</v>
      </c>
      <c r="B123" t="s">
        <v>17</v>
      </c>
      <c r="C123" t="s">
        <v>18</v>
      </c>
      <c r="D123">
        <v>125</v>
      </c>
      <c r="E123">
        <v>272</v>
      </c>
      <c r="F123">
        <v>0</v>
      </c>
      <c r="G123" t="s">
        <v>14</v>
      </c>
      <c r="H123">
        <v>139</v>
      </c>
      <c r="I123" t="s">
        <v>15</v>
      </c>
      <c r="J123">
        <v>0</v>
      </c>
      <c r="K123" t="s">
        <v>16</v>
      </c>
      <c r="L123">
        <v>0</v>
      </c>
    </row>
    <row r="124" spans="1:12" x14ac:dyDescent="0.3">
      <c r="A124">
        <v>46</v>
      </c>
      <c r="B124" t="s">
        <v>12</v>
      </c>
      <c r="C124" t="s">
        <v>21</v>
      </c>
      <c r="D124">
        <v>110</v>
      </c>
      <c r="E124">
        <v>240</v>
      </c>
      <c r="F124">
        <v>0</v>
      </c>
      <c r="G124" t="s">
        <v>20</v>
      </c>
      <c r="H124">
        <v>140</v>
      </c>
      <c r="I124" t="s">
        <v>15</v>
      </c>
      <c r="J124">
        <v>0</v>
      </c>
      <c r="K124" t="s">
        <v>16</v>
      </c>
      <c r="L124">
        <v>0</v>
      </c>
    </row>
    <row r="125" spans="1:12" x14ac:dyDescent="0.3">
      <c r="A125">
        <v>58</v>
      </c>
      <c r="B125" t="s">
        <v>17</v>
      </c>
      <c r="C125" t="s">
        <v>13</v>
      </c>
      <c r="D125">
        <v>180</v>
      </c>
      <c r="E125">
        <v>393</v>
      </c>
      <c r="F125">
        <v>0</v>
      </c>
      <c r="G125" t="s">
        <v>14</v>
      </c>
      <c r="H125">
        <v>110</v>
      </c>
      <c r="I125" t="s">
        <v>22</v>
      </c>
      <c r="J125">
        <v>1</v>
      </c>
      <c r="K125" t="s">
        <v>19</v>
      </c>
      <c r="L125">
        <v>1</v>
      </c>
    </row>
    <row r="126" spans="1:12" x14ac:dyDescent="0.3">
      <c r="A126">
        <v>58</v>
      </c>
      <c r="B126" t="s">
        <v>12</v>
      </c>
      <c r="C126" t="s">
        <v>13</v>
      </c>
      <c r="D126">
        <v>130</v>
      </c>
      <c r="E126">
        <v>230</v>
      </c>
      <c r="F126">
        <v>0</v>
      </c>
      <c r="G126" t="s">
        <v>14</v>
      </c>
      <c r="H126">
        <v>150</v>
      </c>
      <c r="I126" t="s">
        <v>15</v>
      </c>
      <c r="J126">
        <v>0</v>
      </c>
      <c r="K126" t="s">
        <v>16</v>
      </c>
      <c r="L126">
        <v>0</v>
      </c>
    </row>
    <row r="127" spans="1:12" x14ac:dyDescent="0.3">
      <c r="A127">
        <v>54</v>
      </c>
      <c r="B127" t="s">
        <v>12</v>
      </c>
      <c r="C127" t="s">
        <v>13</v>
      </c>
      <c r="D127">
        <v>120</v>
      </c>
      <c r="E127">
        <v>246</v>
      </c>
      <c r="F127">
        <v>0</v>
      </c>
      <c r="G127" t="s">
        <v>14</v>
      </c>
      <c r="H127">
        <v>110</v>
      </c>
      <c r="I127" t="s">
        <v>15</v>
      </c>
      <c r="J127">
        <v>0</v>
      </c>
      <c r="K127" t="s">
        <v>16</v>
      </c>
      <c r="L127">
        <v>0</v>
      </c>
    </row>
    <row r="128" spans="1:12" x14ac:dyDescent="0.3">
      <c r="A128">
        <v>34</v>
      </c>
      <c r="B128" t="s">
        <v>17</v>
      </c>
      <c r="C128" t="s">
        <v>13</v>
      </c>
      <c r="D128">
        <v>130</v>
      </c>
      <c r="E128">
        <v>161</v>
      </c>
      <c r="F128">
        <v>0</v>
      </c>
      <c r="G128" t="s">
        <v>14</v>
      </c>
      <c r="H128">
        <v>190</v>
      </c>
      <c r="I128" t="s">
        <v>15</v>
      </c>
      <c r="J128">
        <v>0</v>
      </c>
      <c r="K128" t="s">
        <v>16</v>
      </c>
      <c r="L128">
        <v>0</v>
      </c>
    </row>
    <row r="129" spans="1:12" x14ac:dyDescent="0.3">
      <c r="A129">
        <v>48</v>
      </c>
      <c r="B129" t="s">
        <v>17</v>
      </c>
      <c r="C129" t="s">
        <v>21</v>
      </c>
      <c r="D129">
        <v>108</v>
      </c>
      <c r="E129">
        <v>163</v>
      </c>
      <c r="F129">
        <v>0</v>
      </c>
      <c r="G129" t="s">
        <v>14</v>
      </c>
      <c r="H129">
        <v>175</v>
      </c>
      <c r="I129" t="s">
        <v>15</v>
      </c>
      <c r="J129">
        <v>2</v>
      </c>
      <c r="K129" t="s">
        <v>16</v>
      </c>
      <c r="L129">
        <v>0</v>
      </c>
    </row>
    <row r="130" spans="1:12" x14ac:dyDescent="0.3">
      <c r="A130">
        <v>54</v>
      </c>
      <c r="B130" t="s">
        <v>17</v>
      </c>
      <c r="C130" t="s">
        <v>13</v>
      </c>
      <c r="D130">
        <v>120</v>
      </c>
      <c r="E130">
        <v>230</v>
      </c>
      <c r="F130">
        <v>1</v>
      </c>
      <c r="G130" t="s">
        <v>14</v>
      </c>
      <c r="H130">
        <v>140</v>
      </c>
      <c r="I130" t="s">
        <v>15</v>
      </c>
      <c r="J130">
        <v>0</v>
      </c>
      <c r="K130" t="s">
        <v>16</v>
      </c>
      <c r="L130">
        <v>0</v>
      </c>
    </row>
    <row r="131" spans="1:12" x14ac:dyDescent="0.3">
      <c r="A131">
        <v>42</v>
      </c>
      <c r="B131" t="s">
        <v>12</v>
      </c>
      <c r="C131" t="s">
        <v>18</v>
      </c>
      <c r="D131">
        <v>120</v>
      </c>
      <c r="E131">
        <v>228</v>
      </c>
      <c r="F131">
        <v>0</v>
      </c>
      <c r="G131" t="s">
        <v>14</v>
      </c>
      <c r="H131">
        <v>152</v>
      </c>
      <c r="I131" t="s">
        <v>22</v>
      </c>
      <c r="J131">
        <v>1.5</v>
      </c>
      <c r="K131" t="s">
        <v>19</v>
      </c>
      <c r="L131">
        <v>0</v>
      </c>
    </row>
    <row r="132" spans="1:12" x14ac:dyDescent="0.3">
      <c r="A132">
        <v>38</v>
      </c>
      <c r="B132" t="s">
        <v>12</v>
      </c>
      <c r="C132" t="s">
        <v>18</v>
      </c>
      <c r="D132">
        <v>145</v>
      </c>
      <c r="E132">
        <v>292</v>
      </c>
      <c r="F132">
        <v>0</v>
      </c>
      <c r="G132" t="s">
        <v>14</v>
      </c>
      <c r="H132">
        <v>130</v>
      </c>
      <c r="I132" t="s">
        <v>15</v>
      </c>
      <c r="J132">
        <v>0</v>
      </c>
      <c r="K132" t="s">
        <v>16</v>
      </c>
      <c r="L132">
        <v>0</v>
      </c>
    </row>
    <row r="133" spans="1:12" x14ac:dyDescent="0.3">
      <c r="A133">
        <v>46</v>
      </c>
      <c r="B133" t="s">
        <v>12</v>
      </c>
      <c r="C133" t="s">
        <v>21</v>
      </c>
      <c r="D133">
        <v>110</v>
      </c>
      <c r="E133">
        <v>202</v>
      </c>
      <c r="F133">
        <v>0</v>
      </c>
      <c r="G133" t="s">
        <v>14</v>
      </c>
      <c r="H133">
        <v>150</v>
      </c>
      <c r="I133" t="s">
        <v>22</v>
      </c>
      <c r="J133">
        <v>0</v>
      </c>
      <c r="K133" t="s">
        <v>19</v>
      </c>
      <c r="L133">
        <v>1</v>
      </c>
    </row>
    <row r="134" spans="1:12" x14ac:dyDescent="0.3">
      <c r="A134">
        <v>56</v>
      </c>
      <c r="B134" t="s">
        <v>12</v>
      </c>
      <c r="C134" t="s">
        <v>21</v>
      </c>
      <c r="D134">
        <v>170</v>
      </c>
      <c r="E134">
        <v>388</v>
      </c>
      <c r="F134">
        <v>0</v>
      </c>
      <c r="G134" t="s">
        <v>20</v>
      </c>
      <c r="H134">
        <v>122</v>
      </c>
      <c r="I134" t="s">
        <v>22</v>
      </c>
      <c r="J134">
        <v>2</v>
      </c>
      <c r="K134" t="s">
        <v>19</v>
      </c>
      <c r="L134">
        <v>1</v>
      </c>
    </row>
    <row r="135" spans="1:12" x14ac:dyDescent="0.3">
      <c r="A135">
        <v>56</v>
      </c>
      <c r="B135" t="s">
        <v>12</v>
      </c>
      <c r="C135" t="s">
        <v>21</v>
      </c>
      <c r="D135">
        <v>150</v>
      </c>
      <c r="E135">
        <v>230</v>
      </c>
      <c r="F135">
        <v>0</v>
      </c>
      <c r="G135" t="s">
        <v>20</v>
      </c>
      <c r="H135">
        <v>124</v>
      </c>
      <c r="I135" t="s">
        <v>22</v>
      </c>
      <c r="J135">
        <v>1.5</v>
      </c>
      <c r="K135" t="s">
        <v>19</v>
      </c>
      <c r="L135">
        <v>1</v>
      </c>
    </row>
    <row r="136" spans="1:12" x14ac:dyDescent="0.3">
      <c r="A136">
        <v>61</v>
      </c>
      <c r="B136" t="s">
        <v>17</v>
      </c>
      <c r="C136" t="s">
        <v>21</v>
      </c>
      <c r="D136">
        <v>130</v>
      </c>
      <c r="E136">
        <v>294</v>
      </c>
      <c r="F136">
        <v>0</v>
      </c>
      <c r="G136" t="s">
        <v>20</v>
      </c>
      <c r="H136">
        <v>120</v>
      </c>
      <c r="I136" t="s">
        <v>22</v>
      </c>
      <c r="J136">
        <v>1</v>
      </c>
      <c r="K136" t="s">
        <v>19</v>
      </c>
      <c r="L136">
        <v>0</v>
      </c>
    </row>
    <row r="137" spans="1:12" x14ac:dyDescent="0.3">
      <c r="A137">
        <v>49</v>
      </c>
      <c r="B137" t="s">
        <v>12</v>
      </c>
      <c r="C137" t="s">
        <v>18</v>
      </c>
      <c r="D137">
        <v>115</v>
      </c>
      <c r="E137">
        <v>265</v>
      </c>
      <c r="F137">
        <v>0</v>
      </c>
      <c r="G137" t="s">
        <v>14</v>
      </c>
      <c r="H137">
        <v>175</v>
      </c>
      <c r="I137" t="s">
        <v>15</v>
      </c>
      <c r="J137">
        <v>0</v>
      </c>
      <c r="K137" t="s">
        <v>19</v>
      </c>
      <c r="L137">
        <v>1</v>
      </c>
    </row>
    <row r="138" spans="1:12" x14ac:dyDescent="0.3">
      <c r="A138">
        <v>43</v>
      </c>
      <c r="B138" t="s">
        <v>17</v>
      </c>
      <c r="C138" t="s">
        <v>13</v>
      </c>
      <c r="D138">
        <v>120</v>
      </c>
      <c r="E138">
        <v>215</v>
      </c>
      <c r="F138">
        <v>0</v>
      </c>
      <c r="G138" t="s">
        <v>20</v>
      </c>
      <c r="H138">
        <v>175</v>
      </c>
      <c r="I138" t="s">
        <v>15</v>
      </c>
      <c r="J138">
        <v>0</v>
      </c>
      <c r="K138" t="s">
        <v>16</v>
      </c>
      <c r="L138">
        <v>0</v>
      </c>
    </row>
    <row r="139" spans="1:12" x14ac:dyDescent="0.3">
      <c r="A139">
        <v>39</v>
      </c>
      <c r="B139" t="s">
        <v>12</v>
      </c>
      <c r="C139" t="s">
        <v>13</v>
      </c>
      <c r="D139">
        <v>120</v>
      </c>
      <c r="E139">
        <v>241</v>
      </c>
      <c r="F139">
        <v>0</v>
      </c>
      <c r="G139" t="s">
        <v>20</v>
      </c>
      <c r="H139">
        <v>146</v>
      </c>
      <c r="I139" t="s">
        <v>15</v>
      </c>
      <c r="J139">
        <v>2</v>
      </c>
      <c r="K139" t="s">
        <v>16</v>
      </c>
      <c r="L139">
        <v>0</v>
      </c>
    </row>
    <row r="140" spans="1:12" x14ac:dyDescent="0.3">
      <c r="A140">
        <v>54</v>
      </c>
      <c r="B140" t="s">
        <v>12</v>
      </c>
      <c r="C140" t="s">
        <v>21</v>
      </c>
      <c r="D140">
        <v>140</v>
      </c>
      <c r="E140">
        <v>166</v>
      </c>
      <c r="F140">
        <v>0</v>
      </c>
      <c r="G140" t="s">
        <v>14</v>
      </c>
      <c r="H140">
        <v>118</v>
      </c>
      <c r="I140" t="s">
        <v>22</v>
      </c>
      <c r="J140">
        <v>0</v>
      </c>
      <c r="K140" t="s">
        <v>19</v>
      </c>
      <c r="L140">
        <v>1</v>
      </c>
    </row>
    <row r="141" spans="1:12" x14ac:dyDescent="0.3">
      <c r="A141">
        <v>43</v>
      </c>
      <c r="B141" t="s">
        <v>12</v>
      </c>
      <c r="C141" t="s">
        <v>21</v>
      </c>
      <c r="D141">
        <v>150</v>
      </c>
      <c r="E141">
        <v>247</v>
      </c>
      <c r="F141">
        <v>0</v>
      </c>
      <c r="G141" t="s">
        <v>14</v>
      </c>
      <c r="H141">
        <v>130</v>
      </c>
      <c r="I141" t="s">
        <v>22</v>
      </c>
      <c r="J141">
        <v>2</v>
      </c>
      <c r="K141" t="s">
        <v>19</v>
      </c>
      <c r="L141">
        <v>1</v>
      </c>
    </row>
    <row r="142" spans="1:12" x14ac:dyDescent="0.3">
      <c r="A142">
        <v>52</v>
      </c>
      <c r="B142" t="s">
        <v>12</v>
      </c>
      <c r="C142" t="s">
        <v>21</v>
      </c>
      <c r="D142">
        <v>160</v>
      </c>
      <c r="E142">
        <v>331</v>
      </c>
      <c r="F142">
        <v>0</v>
      </c>
      <c r="G142" t="s">
        <v>14</v>
      </c>
      <c r="H142">
        <v>94</v>
      </c>
      <c r="I142" t="s">
        <v>22</v>
      </c>
      <c r="J142">
        <v>2.5</v>
      </c>
      <c r="K142" t="s">
        <v>19</v>
      </c>
      <c r="L142">
        <v>1</v>
      </c>
    </row>
    <row r="143" spans="1:12" x14ac:dyDescent="0.3">
      <c r="A143">
        <v>50</v>
      </c>
      <c r="B143" t="s">
        <v>12</v>
      </c>
      <c r="C143" t="s">
        <v>21</v>
      </c>
      <c r="D143">
        <v>140</v>
      </c>
      <c r="E143">
        <v>341</v>
      </c>
      <c r="F143">
        <v>0</v>
      </c>
      <c r="G143" t="s">
        <v>20</v>
      </c>
      <c r="H143">
        <v>125</v>
      </c>
      <c r="I143" t="s">
        <v>22</v>
      </c>
      <c r="J143">
        <v>2.5</v>
      </c>
      <c r="K143" t="s">
        <v>19</v>
      </c>
      <c r="L143">
        <v>1</v>
      </c>
    </row>
    <row r="144" spans="1:12" x14ac:dyDescent="0.3">
      <c r="A144">
        <v>47</v>
      </c>
      <c r="B144" t="s">
        <v>12</v>
      </c>
      <c r="C144" t="s">
        <v>21</v>
      </c>
      <c r="D144">
        <v>160</v>
      </c>
      <c r="E144">
        <v>291</v>
      </c>
      <c r="F144">
        <v>0</v>
      </c>
      <c r="G144" t="s">
        <v>20</v>
      </c>
      <c r="H144">
        <v>158</v>
      </c>
      <c r="I144" t="s">
        <v>22</v>
      </c>
      <c r="J144">
        <v>3</v>
      </c>
      <c r="K144" t="s">
        <v>19</v>
      </c>
      <c r="L144">
        <v>1</v>
      </c>
    </row>
    <row r="145" spans="1:12" x14ac:dyDescent="0.3">
      <c r="A145">
        <v>53</v>
      </c>
      <c r="B145" t="s">
        <v>12</v>
      </c>
      <c r="C145" t="s">
        <v>21</v>
      </c>
      <c r="D145">
        <v>140</v>
      </c>
      <c r="E145">
        <v>243</v>
      </c>
      <c r="F145">
        <v>0</v>
      </c>
      <c r="G145" t="s">
        <v>14</v>
      </c>
      <c r="H145">
        <v>155</v>
      </c>
      <c r="I145" t="s">
        <v>15</v>
      </c>
      <c r="J145">
        <v>0</v>
      </c>
      <c r="K145" t="s">
        <v>16</v>
      </c>
      <c r="L145">
        <v>0</v>
      </c>
    </row>
    <row r="146" spans="1:12" x14ac:dyDescent="0.3">
      <c r="A146">
        <v>56</v>
      </c>
      <c r="B146" t="s">
        <v>17</v>
      </c>
      <c r="C146" t="s">
        <v>13</v>
      </c>
      <c r="D146">
        <v>120</v>
      </c>
      <c r="E146">
        <v>279</v>
      </c>
      <c r="F146">
        <v>0</v>
      </c>
      <c r="G146" t="s">
        <v>14</v>
      </c>
      <c r="H146">
        <v>150</v>
      </c>
      <c r="I146" t="s">
        <v>15</v>
      </c>
      <c r="J146">
        <v>1</v>
      </c>
      <c r="K146" t="s">
        <v>19</v>
      </c>
      <c r="L146">
        <v>1</v>
      </c>
    </row>
    <row r="147" spans="1:12" x14ac:dyDescent="0.3">
      <c r="A147">
        <v>39</v>
      </c>
      <c r="B147" t="s">
        <v>12</v>
      </c>
      <c r="C147" t="s">
        <v>21</v>
      </c>
      <c r="D147">
        <v>110</v>
      </c>
      <c r="E147">
        <v>273</v>
      </c>
      <c r="F147">
        <v>0</v>
      </c>
      <c r="G147" t="s">
        <v>14</v>
      </c>
      <c r="H147">
        <v>132</v>
      </c>
      <c r="I147" t="s">
        <v>15</v>
      </c>
      <c r="J147">
        <v>0</v>
      </c>
      <c r="K147" t="s">
        <v>16</v>
      </c>
      <c r="L147">
        <v>0</v>
      </c>
    </row>
    <row r="148" spans="1:12" x14ac:dyDescent="0.3">
      <c r="A148">
        <v>42</v>
      </c>
      <c r="B148" t="s">
        <v>12</v>
      </c>
      <c r="C148" t="s">
        <v>13</v>
      </c>
      <c r="D148">
        <v>120</v>
      </c>
      <c r="E148">
        <v>198</v>
      </c>
      <c r="F148">
        <v>0</v>
      </c>
      <c r="G148" t="s">
        <v>14</v>
      </c>
      <c r="H148">
        <v>155</v>
      </c>
      <c r="I148" t="s">
        <v>15</v>
      </c>
      <c r="J148">
        <v>0</v>
      </c>
      <c r="K148" t="s">
        <v>16</v>
      </c>
      <c r="L148">
        <v>0</v>
      </c>
    </row>
    <row r="149" spans="1:12" x14ac:dyDescent="0.3">
      <c r="A149">
        <v>43</v>
      </c>
      <c r="B149" t="s">
        <v>17</v>
      </c>
      <c r="C149" t="s">
        <v>13</v>
      </c>
      <c r="D149">
        <v>120</v>
      </c>
      <c r="E149">
        <v>249</v>
      </c>
      <c r="F149">
        <v>0</v>
      </c>
      <c r="G149" t="s">
        <v>20</v>
      </c>
      <c r="H149">
        <v>176</v>
      </c>
      <c r="I149" t="s">
        <v>15</v>
      </c>
      <c r="J149">
        <v>0</v>
      </c>
      <c r="K149" t="s">
        <v>16</v>
      </c>
      <c r="L149">
        <v>0</v>
      </c>
    </row>
    <row r="150" spans="1:12" x14ac:dyDescent="0.3">
      <c r="A150">
        <v>50</v>
      </c>
      <c r="B150" t="s">
        <v>12</v>
      </c>
      <c r="C150" t="s">
        <v>13</v>
      </c>
      <c r="D150">
        <v>120</v>
      </c>
      <c r="E150">
        <v>168</v>
      </c>
      <c r="F150">
        <v>0</v>
      </c>
      <c r="G150" t="s">
        <v>14</v>
      </c>
      <c r="H150">
        <v>160</v>
      </c>
      <c r="I150" t="s">
        <v>15</v>
      </c>
      <c r="J150">
        <v>0</v>
      </c>
      <c r="K150" t="s">
        <v>16</v>
      </c>
      <c r="L150">
        <v>0</v>
      </c>
    </row>
    <row r="151" spans="1:12" x14ac:dyDescent="0.3">
      <c r="A151">
        <v>54</v>
      </c>
      <c r="B151" t="s">
        <v>12</v>
      </c>
      <c r="C151" t="s">
        <v>21</v>
      </c>
      <c r="D151">
        <v>130</v>
      </c>
      <c r="E151">
        <v>603</v>
      </c>
      <c r="F151">
        <v>1</v>
      </c>
      <c r="G151" t="s">
        <v>14</v>
      </c>
      <c r="H151">
        <v>125</v>
      </c>
      <c r="I151" t="s">
        <v>22</v>
      </c>
      <c r="J151">
        <v>1</v>
      </c>
      <c r="K151" t="s">
        <v>19</v>
      </c>
      <c r="L151">
        <v>1</v>
      </c>
    </row>
    <row r="152" spans="1:12" x14ac:dyDescent="0.3">
      <c r="A152">
        <v>39</v>
      </c>
      <c r="B152" t="s">
        <v>12</v>
      </c>
      <c r="C152" t="s">
        <v>13</v>
      </c>
      <c r="D152">
        <v>130</v>
      </c>
      <c r="E152">
        <v>215</v>
      </c>
      <c r="F152">
        <v>0</v>
      </c>
      <c r="G152" t="s">
        <v>14</v>
      </c>
      <c r="H152">
        <v>120</v>
      </c>
      <c r="I152" t="s">
        <v>15</v>
      </c>
      <c r="J152">
        <v>0</v>
      </c>
      <c r="K152" t="s">
        <v>16</v>
      </c>
      <c r="L152">
        <v>0</v>
      </c>
    </row>
    <row r="153" spans="1:12" x14ac:dyDescent="0.3">
      <c r="A153">
        <v>48</v>
      </c>
      <c r="B153" t="s">
        <v>12</v>
      </c>
      <c r="C153" t="s">
        <v>13</v>
      </c>
      <c r="D153">
        <v>100</v>
      </c>
      <c r="E153">
        <v>159</v>
      </c>
      <c r="F153">
        <v>0</v>
      </c>
      <c r="G153" t="s">
        <v>14</v>
      </c>
      <c r="H153">
        <v>100</v>
      </c>
      <c r="I153" t="s">
        <v>15</v>
      </c>
      <c r="J153">
        <v>0</v>
      </c>
      <c r="K153" t="s">
        <v>16</v>
      </c>
      <c r="L153">
        <v>0</v>
      </c>
    </row>
    <row r="154" spans="1:12" x14ac:dyDescent="0.3">
      <c r="A154">
        <v>40</v>
      </c>
      <c r="B154" t="s">
        <v>12</v>
      </c>
      <c r="C154" t="s">
        <v>13</v>
      </c>
      <c r="D154">
        <v>130</v>
      </c>
      <c r="E154">
        <v>275</v>
      </c>
      <c r="F154">
        <v>0</v>
      </c>
      <c r="G154" t="s">
        <v>14</v>
      </c>
      <c r="H154">
        <v>150</v>
      </c>
      <c r="I154" t="s">
        <v>15</v>
      </c>
      <c r="J154">
        <v>0</v>
      </c>
      <c r="K154" t="s">
        <v>16</v>
      </c>
      <c r="L154">
        <v>0</v>
      </c>
    </row>
    <row r="155" spans="1:12" x14ac:dyDescent="0.3">
      <c r="A155">
        <v>55</v>
      </c>
      <c r="B155" t="s">
        <v>12</v>
      </c>
      <c r="C155" t="s">
        <v>21</v>
      </c>
      <c r="D155">
        <v>120</v>
      </c>
      <c r="E155">
        <v>270</v>
      </c>
      <c r="F155">
        <v>0</v>
      </c>
      <c r="G155" t="s">
        <v>14</v>
      </c>
      <c r="H155">
        <v>140</v>
      </c>
      <c r="I155" t="s">
        <v>15</v>
      </c>
      <c r="J155">
        <v>0</v>
      </c>
      <c r="K155" t="s">
        <v>16</v>
      </c>
      <c r="L155">
        <v>0</v>
      </c>
    </row>
    <row r="156" spans="1:12" x14ac:dyDescent="0.3">
      <c r="A156">
        <v>41</v>
      </c>
      <c r="B156" t="s">
        <v>12</v>
      </c>
      <c r="C156" t="s">
        <v>13</v>
      </c>
      <c r="D156">
        <v>120</v>
      </c>
      <c r="E156">
        <v>291</v>
      </c>
      <c r="F156">
        <v>0</v>
      </c>
      <c r="G156" t="s">
        <v>20</v>
      </c>
      <c r="H156">
        <v>160</v>
      </c>
      <c r="I156" t="s">
        <v>15</v>
      </c>
      <c r="J156">
        <v>0</v>
      </c>
      <c r="K156" t="s">
        <v>16</v>
      </c>
      <c r="L156">
        <v>0</v>
      </c>
    </row>
    <row r="157" spans="1:12" x14ac:dyDescent="0.3">
      <c r="A157">
        <v>56</v>
      </c>
      <c r="B157" t="s">
        <v>12</v>
      </c>
      <c r="C157" t="s">
        <v>21</v>
      </c>
      <c r="D157">
        <v>155</v>
      </c>
      <c r="E157">
        <v>342</v>
      </c>
      <c r="F157">
        <v>1</v>
      </c>
      <c r="G157" t="s">
        <v>14</v>
      </c>
      <c r="H157">
        <v>150</v>
      </c>
      <c r="I157" t="s">
        <v>22</v>
      </c>
      <c r="J157">
        <v>3</v>
      </c>
      <c r="K157" t="s">
        <v>19</v>
      </c>
      <c r="L157">
        <v>1</v>
      </c>
    </row>
    <row r="158" spans="1:12" x14ac:dyDescent="0.3">
      <c r="A158">
        <v>38</v>
      </c>
      <c r="B158" t="s">
        <v>12</v>
      </c>
      <c r="C158" t="s">
        <v>21</v>
      </c>
      <c r="D158">
        <v>110</v>
      </c>
      <c r="E158">
        <v>190</v>
      </c>
      <c r="F158">
        <v>0</v>
      </c>
      <c r="G158" t="s">
        <v>14</v>
      </c>
      <c r="H158">
        <v>150</v>
      </c>
      <c r="I158" t="s">
        <v>22</v>
      </c>
      <c r="J158">
        <v>1</v>
      </c>
      <c r="K158" t="s">
        <v>19</v>
      </c>
      <c r="L158">
        <v>1</v>
      </c>
    </row>
    <row r="159" spans="1:12" x14ac:dyDescent="0.3">
      <c r="A159">
        <v>49</v>
      </c>
      <c r="B159" t="s">
        <v>12</v>
      </c>
      <c r="C159" t="s">
        <v>21</v>
      </c>
      <c r="D159">
        <v>140</v>
      </c>
      <c r="E159">
        <v>185</v>
      </c>
      <c r="F159">
        <v>0</v>
      </c>
      <c r="G159" t="s">
        <v>14</v>
      </c>
      <c r="H159">
        <v>130</v>
      </c>
      <c r="I159" t="s">
        <v>15</v>
      </c>
      <c r="J159">
        <v>0</v>
      </c>
      <c r="K159" t="s">
        <v>16</v>
      </c>
      <c r="L159">
        <v>0</v>
      </c>
    </row>
    <row r="160" spans="1:12" x14ac:dyDescent="0.3">
      <c r="A160">
        <v>44</v>
      </c>
      <c r="B160" t="s">
        <v>12</v>
      </c>
      <c r="C160" t="s">
        <v>21</v>
      </c>
      <c r="D160">
        <v>130</v>
      </c>
      <c r="E160">
        <v>290</v>
      </c>
      <c r="F160">
        <v>0</v>
      </c>
      <c r="G160" t="s">
        <v>14</v>
      </c>
      <c r="H160">
        <v>100</v>
      </c>
      <c r="I160" t="s">
        <v>22</v>
      </c>
      <c r="J160">
        <v>2</v>
      </c>
      <c r="K160" t="s">
        <v>19</v>
      </c>
      <c r="L160">
        <v>1</v>
      </c>
    </row>
    <row r="161" spans="1:12" x14ac:dyDescent="0.3">
      <c r="A161">
        <v>54</v>
      </c>
      <c r="B161" t="s">
        <v>12</v>
      </c>
      <c r="C161" t="s">
        <v>13</v>
      </c>
      <c r="D161">
        <v>160</v>
      </c>
      <c r="E161">
        <v>195</v>
      </c>
      <c r="F161">
        <v>0</v>
      </c>
      <c r="G161" t="s">
        <v>20</v>
      </c>
      <c r="H161">
        <v>130</v>
      </c>
      <c r="I161" t="s">
        <v>15</v>
      </c>
      <c r="J161">
        <v>1</v>
      </c>
      <c r="K161" t="s">
        <v>16</v>
      </c>
      <c r="L161">
        <v>0</v>
      </c>
    </row>
    <row r="162" spans="1:12" x14ac:dyDescent="0.3">
      <c r="A162">
        <v>59</v>
      </c>
      <c r="B162" t="s">
        <v>12</v>
      </c>
      <c r="C162" t="s">
        <v>21</v>
      </c>
      <c r="D162">
        <v>140</v>
      </c>
      <c r="E162">
        <v>264</v>
      </c>
      <c r="F162">
        <v>1</v>
      </c>
      <c r="G162" t="s">
        <v>24</v>
      </c>
      <c r="H162">
        <v>119</v>
      </c>
      <c r="I162" t="s">
        <v>22</v>
      </c>
      <c r="J162">
        <v>0</v>
      </c>
      <c r="K162" t="s">
        <v>19</v>
      </c>
      <c r="L162">
        <v>1</v>
      </c>
    </row>
    <row r="163" spans="1:12" x14ac:dyDescent="0.3">
      <c r="A163">
        <v>49</v>
      </c>
      <c r="B163" t="s">
        <v>12</v>
      </c>
      <c r="C163" t="s">
        <v>21</v>
      </c>
      <c r="D163">
        <v>128</v>
      </c>
      <c r="E163">
        <v>212</v>
      </c>
      <c r="F163">
        <v>0</v>
      </c>
      <c r="G163" t="s">
        <v>14</v>
      </c>
      <c r="H163">
        <v>96</v>
      </c>
      <c r="I163" t="s">
        <v>22</v>
      </c>
      <c r="J163">
        <v>0</v>
      </c>
      <c r="K163" t="s">
        <v>19</v>
      </c>
      <c r="L163">
        <v>1</v>
      </c>
    </row>
    <row r="164" spans="1:12" x14ac:dyDescent="0.3">
      <c r="A164">
        <v>47</v>
      </c>
      <c r="B164" t="s">
        <v>12</v>
      </c>
      <c r="C164" t="s">
        <v>13</v>
      </c>
      <c r="D164">
        <v>160</v>
      </c>
      <c r="E164">
        <v>263</v>
      </c>
      <c r="F164">
        <v>0</v>
      </c>
      <c r="G164" t="s">
        <v>14</v>
      </c>
      <c r="H164">
        <v>174</v>
      </c>
      <c r="I164" t="s">
        <v>15</v>
      </c>
      <c r="J164">
        <v>0</v>
      </c>
      <c r="K164" t="s">
        <v>16</v>
      </c>
      <c r="L164">
        <v>0</v>
      </c>
    </row>
    <row r="165" spans="1:12" x14ac:dyDescent="0.3">
      <c r="A165">
        <v>42</v>
      </c>
      <c r="B165" t="s">
        <v>12</v>
      </c>
      <c r="C165" t="s">
        <v>13</v>
      </c>
      <c r="D165">
        <v>120</v>
      </c>
      <c r="E165">
        <v>196</v>
      </c>
      <c r="F165">
        <v>0</v>
      </c>
      <c r="G165" t="s">
        <v>14</v>
      </c>
      <c r="H165">
        <v>150</v>
      </c>
      <c r="I165" t="s">
        <v>15</v>
      </c>
      <c r="J165">
        <v>0</v>
      </c>
      <c r="K165" t="s">
        <v>16</v>
      </c>
      <c r="L165">
        <v>0</v>
      </c>
    </row>
    <row r="166" spans="1:12" x14ac:dyDescent="0.3">
      <c r="A166">
        <v>52</v>
      </c>
      <c r="B166" t="s">
        <v>17</v>
      </c>
      <c r="C166" t="s">
        <v>13</v>
      </c>
      <c r="D166">
        <v>140</v>
      </c>
      <c r="E166">
        <v>225</v>
      </c>
      <c r="F166">
        <v>0</v>
      </c>
      <c r="G166" t="s">
        <v>14</v>
      </c>
      <c r="H166">
        <v>140</v>
      </c>
      <c r="I166" t="s">
        <v>15</v>
      </c>
      <c r="J166">
        <v>0</v>
      </c>
      <c r="K166" t="s">
        <v>16</v>
      </c>
      <c r="L166">
        <v>0</v>
      </c>
    </row>
    <row r="167" spans="1:12" x14ac:dyDescent="0.3">
      <c r="A167">
        <v>46</v>
      </c>
      <c r="B167" t="s">
        <v>12</v>
      </c>
      <c r="C167" t="s">
        <v>23</v>
      </c>
      <c r="D167">
        <v>140</v>
      </c>
      <c r="E167">
        <v>272</v>
      </c>
      <c r="F167">
        <v>1</v>
      </c>
      <c r="G167" t="s">
        <v>14</v>
      </c>
      <c r="H167">
        <v>175</v>
      </c>
      <c r="I167" t="s">
        <v>15</v>
      </c>
      <c r="J167">
        <v>2</v>
      </c>
      <c r="K167" t="s">
        <v>19</v>
      </c>
      <c r="L167">
        <v>1</v>
      </c>
    </row>
    <row r="168" spans="1:12" x14ac:dyDescent="0.3">
      <c r="A168">
        <v>50</v>
      </c>
      <c r="B168" t="s">
        <v>12</v>
      </c>
      <c r="C168" t="s">
        <v>21</v>
      </c>
      <c r="D168">
        <v>140</v>
      </c>
      <c r="E168">
        <v>231</v>
      </c>
      <c r="F168">
        <v>0</v>
      </c>
      <c r="G168" t="s">
        <v>20</v>
      </c>
      <c r="H168">
        <v>140</v>
      </c>
      <c r="I168" t="s">
        <v>22</v>
      </c>
      <c r="J168">
        <v>5</v>
      </c>
      <c r="K168" t="s">
        <v>19</v>
      </c>
      <c r="L168">
        <v>1</v>
      </c>
    </row>
    <row r="169" spans="1:12" x14ac:dyDescent="0.3">
      <c r="A169">
        <v>48</v>
      </c>
      <c r="B169" t="s">
        <v>12</v>
      </c>
      <c r="C169" t="s">
        <v>13</v>
      </c>
      <c r="D169">
        <v>140</v>
      </c>
      <c r="E169">
        <v>238</v>
      </c>
      <c r="F169">
        <v>0</v>
      </c>
      <c r="G169" t="s">
        <v>14</v>
      </c>
      <c r="H169">
        <v>118</v>
      </c>
      <c r="I169" t="s">
        <v>15</v>
      </c>
      <c r="J169">
        <v>0</v>
      </c>
      <c r="K169" t="s">
        <v>16</v>
      </c>
      <c r="L169">
        <v>0</v>
      </c>
    </row>
    <row r="170" spans="1:12" x14ac:dyDescent="0.3">
      <c r="A170">
        <v>58</v>
      </c>
      <c r="B170" t="s">
        <v>12</v>
      </c>
      <c r="C170" t="s">
        <v>21</v>
      </c>
      <c r="D170">
        <v>135</v>
      </c>
      <c r="E170">
        <v>222</v>
      </c>
      <c r="F170">
        <v>0</v>
      </c>
      <c r="G170" t="s">
        <v>14</v>
      </c>
      <c r="H170">
        <v>100</v>
      </c>
      <c r="I170" t="s">
        <v>15</v>
      </c>
      <c r="J170">
        <v>0</v>
      </c>
      <c r="K170" t="s">
        <v>16</v>
      </c>
      <c r="L170">
        <v>0</v>
      </c>
    </row>
    <row r="171" spans="1:12" x14ac:dyDescent="0.3">
      <c r="A171">
        <v>58</v>
      </c>
      <c r="B171" t="s">
        <v>12</v>
      </c>
      <c r="C171" t="s">
        <v>18</v>
      </c>
      <c r="D171">
        <v>140</v>
      </c>
      <c r="E171">
        <v>179</v>
      </c>
      <c r="F171">
        <v>0</v>
      </c>
      <c r="G171" t="s">
        <v>14</v>
      </c>
      <c r="H171">
        <v>160</v>
      </c>
      <c r="I171" t="s">
        <v>15</v>
      </c>
      <c r="J171">
        <v>0</v>
      </c>
      <c r="K171" t="s">
        <v>16</v>
      </c>
      <c r="L171">
        <v>0</v>
      </c>
    </row>
    <row r="172" spans="1:12" x14ac:dyDescent="0.3">
      <c r="A172">
        <v>29</v>
      </c>
      <c r="B172" t="s">
        <v>12</v>
      </c>
      <c r="C172" t="s">
        <v>13</v>
      </c>
      <c r="D172">
        <v>120</v>
      </c>
      <c r="E172">
        <v>243</v>
      </c>
      <c r="F172">
        <v>0</v>
      </c>
      <c r="G172" t="s">
        <v>14</v>
      </c>
      <c r="H172">
        <v>160</v>
      </c>
      <c r="I172" t="s">
        <v>15</v>
      </c>
      <c r="J172">
        <v>0</v>
      </c>
      <c r="K172" t="s">
        <v>16</v>
      </c>
      <c r="L172">
        <v>0</v>
      </c>
    </row>
    <row r="173" spans="1:12" x14ac:dyDescent="0.3">
      <c r="A173">
        <v>40</v>
      </c>
      <c r="B173" t="s">
        <v>12</v>
      </c>
      <c r="C173" t="s">
        <v>18</v>
      </c>
      <c r="D173">
        <v>140</v>
      </c>
      <c r="E173">
        <v>235</v>
      </c>
      <c r="F173">
        <v>0</v>
      </c>
      <c r="G173" t="s">
        <v>14</v>
      </c>
      <c r="H173">
        <v>188</v>
      </c>
      <c r="I173" t="s">
        <v>15</v>
      </c>
      <c r="J173">
        <v>0</v>
      </c>
      <c r="K173" t="s">
        <v>16</v>
      </c>
      <c r="L173">
        <v>0</v>
      </c>
    </row>
    <row r="174" spans="1:12" x14ac:dyDescent="0.3">
      <c r="A174">
        <v>53</v>
      </c>
      <c r="B174" t="s">
        <v>12</v>
      </c>
      <c r="C174" t="s">
        <v>13</v>
      </c>
      <c r="D174">
        <v>140</v>
      </c>
      <c r="E174">
        <v>320</v>
      </c>
      <c r="F174">
        <v>0</v>
      </c>
      <c r="G174" t="s">
        <v>14</v>
      </c>
      <c r="H174">
        <v>162</v>
      </c>
      <c r="I174" t="s">
        <v>15</v>
      </c>
      <c r="J174">
        <v>0</v>
      </c>
      <c r="K174" t="s">
        <v>16</v>
      </c>
      <c r="L174">
        <v>0</v>
      </c>
    </row>
    <row r="175" spans="1:12" x14ac:dyDescent="0.3">
      <c r="A175">
        <v>49</v>
      </c>
      <c r="B175" t="s">
        <v>12</v>
      </c>
      <c r="C175" t="s">
        <v>18</v>
      </c>
      <c r="D175">
        <v>140</v>
      </c>
      <c r="E175">
        <v>187</v>
      </c>
      <c r="F175">
        <v>0</v>
      </c>
      <c r="G175" t="s">
        <v>14</v>
      </c>
      <c r="H175">
        <v>172</v>
      </c>
      <c r="I175" t="s">
        <v>15</v>
      </c>
      <c r="J175">
        <v>0</v>
      </c>
      <c r="K175" t="s">
        <v>16</v>
      </c>
      <c r="L175">
        <v>0</v>
      </c>
    </row>
    <row r="176" spans="1:12" x14ac:dyDescent="0.3">
      <c r="A176">
        <v>52</v>
      </c>
      <c r="B176" t="s">
        <v>12</v>
      </c>
      <c r="C176" t="s">
        <v>21</v>
      </c>
      <c r="D176">
        <v>140</v>
      </c>
      <c r="E176">
        <v>266</v>
      </c>
      <c r="F176">
        <v>0</v>
      </c>
      <c r="G176" t="s">
        <v>14</v>
      </c>
      <c r="H176">
        <v>134</v>
      </c>
      <c r="I176" t="s">
        <v>22</v>
      </c>
      <c r="J176">
        <v>2</v>
      </c>
      <c r="K176" t="s">
        <v>19</v>
      </c>
      <c r="L176">
        <v>1</v>
      </c>
    </row>
    <row r="177" spans="1:12" x14ac:dyDescent="0.3">
      <c r="A177">
        <v>43</v>
      </c>
      <c r="B177" t="s">
        <v>12</v>
      </c>
      <c r="C177" t="s">
        <v>21</v>
      </c>
      <c r="D177">
        <v>140</v>
      </c>
      <c r="E177">
        <v>288</v>
      </c>
      <c r="F177">
        <v>0</v>
      </c>
      <c r="G177" t="s">
        <v>14</v>
      </c>
      <c r="H177">
        <v>135</v>
      </c>
      <c r="I177" t="s">
        <v>22</v>
      </c>
      <c r="J177">
        <v>2</v>
      </c>
      <c r="K177" t="s">
        <v>19</v>
      </c>
      <c r="L177">
        <v>1</v>
      </c>
    </row>
    <row r="178" spans="1:12" x14ac:dyDescent="0.3">
      <c r="A178">
        <v>54</v>
      </c>
      <c r="B178" t="s">
        <v>12</v>
      </c>
      <c r="C178" t="s">
        <v>21</v>
      </c>
      <c r="D178">
        <v>140</v>
      </c>
      <c r="E178">
        <v>216</v>
      </c>
      <c r="F178">
        <v>0</v>
      </c>
      <c r="G178" t="s">
        <v>14</v>
      </c>
      <c r="H178">
        <v>105</v>
      </c>
      <c r="I178" t="s">
        <v>15</v>
      </c>
      <c r="J178">
        <v>1.5</v>
      </c>
      <c r="K178" t="s">
        <v>19</v>
      </c>
      <c r="L178">
        <v>1</v>
      </c>
    </row>
    <row r="179" spans="1:12" x14ac:dyDescent="0.3">
      <c r="A179">
        <v>59</v>
      </c>
      <c r="B179" t="s">
        <v>12</v>
      </c>
      <c r="C179" t="s">
        <v>13</v>
      </c>
      <c r="D179">
        <v>140</v>
      </c>
      <c r="E179">
        <v>287</v>
      </c>
      <c r="F179">
        <v>0</v>
      </c>
      <c r="G179" t="s">
        <v>14</v>
      </c>
      <c r="H179">
        <v>150</v>
      </c>
      <c r="I179" t="s">
        <v>15</v>
      </c>
      <c r="J179">
        <v>0</v>
      </c>
      <c r="K179" t="s">
        <v>16</v>
      </c>
      <c r="L179">
        <v>0</v>
      </c>
    </row>
    <row r="180" spans="1:12" x14ac:dyDescent="0.3">
      <c r="A180">
        <v>37</v>
      </c>
      <c r="B180" t="s">
        <v>12</v>
      </c>
      <c r="C180" t="s">
        <v>18</v>
      </c>
      <c r="D180">
        <v>130</v>
      </c>
      <c r="E180">
        <v>194</v>
      </c>
      <c r="F180">
        <v>0</v>
      </c>
      <c r="G180" t="s">
        <v>14</v>
      </c>
      <c r="H180">
        <v>150</v>
      </c>
      <c r="I180" t="s">
        <v>15</v>
      </c>
      <c r="J180">
        <v>0</v>
      </c>
      <c r="K180" t="s">
        <v>16</v>
      </c>
      <c r="L180">
        <v>0</v>
      </c>
    </row>
    <row r="181" spans="1:12" x14ac:dyDescent="0.3">
      <c r="A181">
        <v>46</v>
      </c>
      <c r="B181" t="s">
        <v>17</v>
      </c>
      <c r="C181" t="s">
        <v>21</v>
      </c>
      <c r="D181">
        <v>130</v>
      </c>
      <c r="E181">
        <v>238</v>
      </c>
      <c r="F181">
        <v>0</v>
      </c>
      <c r="G181" t="s">
        <v>14</v>
      </c>
      <c r="H181">
        <v>90</v>
      </c>
      <c r="I181" t="s">
        <v>15</v>
      </c>
      <c r="J181">
        <v>0</v>
      </c>
      <c r="K181" t="s">
        <v>16</v>
      </c>
      <c r="L181">
        <v>0</v>
      </c>
    </row>
    <row r="182" spans="1:12" x14ac:dyDescent="0.3">
      <c r="A182">
        <v>52</v>
      </c>
      <c r="B182" t="s">
        <v>12</v>
      </c>
      <c r="C182" t="s">
        <v>21</v>
      </c>
      <c r="D182">
        <v>130</v>
      </c>
      <c r="E182">
        <v>225</v>
      </c>
      <c r="F182">
        <v>0</v>
      </c>
      <c r="G182" t="s">
        <v>14</v>
      </c>
      <c r="H182">
        <v>120</v>
      </c>
      <c r="I182" t="s">
        <v>22</v>
      </c>
      <c r="J182">
        <v>2</v>
      </c>
      <c r="K182" t="s">
        <v>19</v>
      </c>
      <c r="L182">
        <v>1</v>
      </c>
    </row>
    <row r="183" spans="1:12" x14ac:dyDescent="0.3">
      <c r="A183">
        <v>51</v>
      </c>
      <c r="B183" t="s">
        <v>12</v>
      </c>
      <c r="C183" t="s">
        <v>13</v>
      </c>
      <c r="D183">
        <v>130</v>
      </c>
      <c r="E183">
        <v>224</v>
      </c>
      <c r="F183">
        <v>0</v>
      </c>
      <c r="G183" t="s">
        <v>14</v>
      </c>
      <c r="H183">
        <v>150</v>
      </c>
      <c r="I183" t="s">
        <v>15</v>
      </c>
      <c r="J183">
        <v>0</v>
      </c>
      <c r="K183" t="s">
        <v>16</v>
      </c>
      <c r="L183">
        <v>0</v>
      </c>
    </row>
    <row r="184" spans="1:12" x14ac:dyDescent="0.3">
      <c r="A184">
        <v>52</v>
      </c>
      <c r="B184" t="s">
        <v>12</v>
      </c>
      <c r="C184" t="s">
        <v>21</v>
      </c>
      <c r="D184">
        <v>140</v>
      </c>
      <c r="E184">
        <v>404</v>
      </c>
      <c r="F184">
        <v>0</v>
      </c>
      <c r="G184" t="s">
        <v>14</v>
      </c>
      <c r="H184">
        <v>124</v>
      </c>
      <c r="I184" t="s">
        <v>22</v>
      </c>
      <c r="J184">
        <v>2</v>
      </c>
      <c r="K184" t="s">
        <v>19</v>
      </c>
      <c r="L184">
        <v>1</v>
      </c>
    </row>
    <row r="185" spans="1:12" x14ac:dyDescent="0.3">
      <c r="A185">
        <v>46</v>
      </c>
      <c r="B185" t="s">
        <v>12</v>
      </c>
      <c r="C185" t="s">
        <v>21</v>
      </c>
      <c r="D185">
        <v>110</v>
      </c>
      <c r="E185">
        <v>238</v>
      </c>
      <c r="F185">
        <v>0</v>
      </c>
      <c r="G185" t="s">
        <v>20</v>
      </c>
      <c r="H185">
        <v>140</v>
      </c>
      <c r="I185" t="s">
        <v>22</v>
      </c>
      <c r="J185">
        <v>1</v>
      </c>
      <c r="K185" t="s">
        <v>19</v>
      </c>
      <c r="L185">
        <v>0</v>
      </c>
    </row>
    <row r="186" spans="1:12" x14ac:dyDescent="0.3">
      <c r="A186">
        <v>54</v>
      </c>
      <c r="B186" t="s">
        <v>17</v>
      </c>
      <c r="C186" t="s">
        <v>13</v>
      </c>
      <c r="D186">
        <v>160</v>
      </c>
      <c r="E186">
        <v>312</v>
      </c>
      <c r="F186">
        <v>0</v>
      </c>
      <c r="G186" t="s">
        <v>14</v>
      </c>
      <c r="H186">
        <v>130</v>
      </c>
      <c r="I186" t="s">
        <v>15</v>
      </c>
      <c r="J186">
        <v>0</v>
      </c>
      <c r="K186" t="s">
        <v>16</v>
      </c>
      <c r="L186">
        <v>0</v>
      </c>
    </row>
    <row r="187" spans="1:12" x14ac:dyDescent="0.3">
      <c r="A187">
        <v>58</v>
      </c>
      <c r="B187" t="s">
        <v>12</v>
      </c>
      <c r="C187" t="s">
        <v>18</v>
      </c>
      <c r="D187">
        <v>160</v>
      </c>
      <c r="E187">
        <v>211</v>
      </c>
      <c r="F187">
        <v>1</v>
      </c>
      <c r="G187" t="s">
        <v>20</v>
      </c>
      <c r="H187">
        <v>92</v>
      </c>
      <c r="I187" t="s">
        <v>15</v>
      </c>
      <c r="J187">
        <v>0</v>
      </c>
      <c r="K187" t="s">
        <v>19</v>
      </c>
      <c r="L187">
        <v>1</v>
      </c>
    </row>
    <row r="188" spans="1:12" x14ac:dyDescent="0.3">
      <c r="A188">
        <v>58</v>
      </c>
      <c r="B188" t="s">
        <v>12</v>
      </c>
      <c r="C188" t="s">
        <v>13</v>
      </c>
      <c r="D188">
        <v>130</v>
      </c>
      <c r="E188">
        <v>251</v>
      </c>
      <c r="F188">
        <v>0</v>
      </c>
      <c r="G188" t="s">
        <v>14</v>
      </c>
      <c r="H188">
        <v>110</v>
      </c>
      <c r="I188" t="s">
        <v>15</v>
      </c>
      <c r="J188">
        <v>0</v>
      </c>
      <c r="K188" t="s">
        <v>16</v>
      </c>
      <c r="L188">
        <v>0</v>
      </c>
    </row>
    <row r="189" spans="1:12" x14ac:dyDescent="0.3">
      <c r="A189">
        <v>41</v>
      </c>
      <c r="B189" t="s">
        <v>12</v>
      </c>
      <c r="C189" t="s">
        <v>21</v>
      </c>
      <c r="D189">
        <v>120</v>
      </c>
      <c r="E189">
        <v>237</v>
      </c>
      <c r="F189">
        <v>1</v>
      </c>
      <c r="G189" t="s">
        <v>14</v>
      </c>
      <c r="H189">
        <v>138</v>
      </c>
      <c r="I189" t="s">
        <v>22</v>
      </c>
      <c r="J189">
        <v>1</v>
      </c>
      <c r="K189" t="s">
        <v>19</v>
      </c>
      <c r="L189">
        <v>1</v>
      </c>
    </row>
    <row r="190" spans="1:12" x14ac:dyDescent="0.3">
      <c r="A190">
        <v>50</v>
      </c>
      <c r="B190" t="s">
        <v>17</v>
      </c>
      <c r="C190" t="s">
        <v>21</v>
      </c>
      <c r="D190">
        <v>120</v>
      </c>
      <c r="E190">
        <v>328</v>
      </c>
      <c r="F190">
        <v>0</v>
      </c>
      <c r="G190" t="s">
        <v>14</v>
      </c>
      <c r="H190">
        <v>110</v>
      </c>
      <c r="I190" t="s">
        <v>22</v>
      </c>
      <c r="J190">
        <v>1</v>
      </c>
      <c r="K190" t="s">
        <v>19</v>
      </c>
      <c r="L190">
        <v>0</v>
      </c>
    </row>
    <row r="191" spans="1:12" x14ac:dyDescent="0.3">
      <c r="A191">
        <v>53</v>
      </c>
      <c r="B191" t="s">
        <v>12</v>
      </c>
      <c r="C191" t="s">
        <v>21</v>
      </c>
      <c r="D191">
        <v>180</v>
      </c>
      <c r="E191">
        <v>285</v>
      </c>
      <c r="F191">
        <v>0</v>
      </c>
      <c r="G191" t="s">
        <v>20</v>
      </c>
      <c r="H191">
        <v>120</v>
      </c>
      <c r="I191" t="s">
        <v>22</v>
      </c>
      <c r="J191">
        <v>1.5</v>
      </c>
      <c r="K191" t="s">
        <v>19</v>
      </c>
      <c r="L191">
        <v>1</v>
      </c>
    </row>
    <row r="192" spans="1:12" x14ac:dyDescent="0.3">
      <c r="A192">
        <v>46</v>
      </c>
      <c r="B192" t="s">
        <v>12</v>
      </c>
      <c r="C192" t="s">
        <v>21</v>
      </c>
      <c r="D192">
        <v>180</v>
      </c>
      <c r="E192">
        <v>280</v>
      </c>
      <c r="F192">
        <v>0</v>
      </c>
      <c r="G192" t="s">
        <v>20</v>
      </c>
      <c r="H192">
        <v>120</v>
      </c>
      <c r="I192" t="s">
        <v>15</v>
      </c>
      <c r="J192">
        <v>0</v>
      </c>
      <c r="K192" t="s">
        <v>16</v>
      </c>
      <c r="L192">
        <v>0</v>
      </c>
    </row>
    <row r="193" spans="1:12" x14ac:dyDescent="0.3">
      <c r="A193">
        <v>50</v>
      </c>
      <c r="B193" t="s">
        <v>12</v>
      </c>
      <c r="C193" t="s">
        <v>13</v>
      </c>
      <c r="D193">
        <v>170</v>
      </c>
      <c r="E193">
        <v>209</v>
      </c>
      <c r="F193">
        <v>0</v>
      </c>
      <c r="G193" t="s">
        <v>20</v>
      </c>
      <c r="H193">
        <v>116</v>
      </c>
      <c r="I193" t="s">
        <v>15</v>
      </c>
      <c r="J193">
        <v>0</v>
      </c>
      <c r="K193" t="s">
        <v>16</v>
      </c>
      <c r="L193">
        <v>0</v>
      </c>
    </row>
    <row r="194" spans="1:12" x14ac:dyDescent="0.3">
      <c r="A194">
        <v>48</v>
      </c>
      <c r="B194" t="s">
        <v>12</v>
      </c>
      <c r="C194" t="s">
        <v>13</v>
      </c>
      <c r="D194">
        <v>130</v>
      </c>
      <c r="E194">
        <v>245</v>
      </c>
      <c r="F194">
        <v>0</v>
      </c>
      <c r="G194" t="s">
        <v>14</v>
      </c>
      <c r="H194">
        <v>160</v>
      </c>
      <c r="I194" t="s">
        <v>15</v>
      </c>
      <c r="J194">
        <v>0</v>
      </c>
      <c r="K194" t="s">
        <v>16</v>
      </c>
      <c r="L194">
        <v>0</v>
      </c>
    </row>
    <row r="195" spans="1:12" x14ac:dyDescent="0.3">
      <c r="A195">
        <v>45</v>
      </c>
      <c r="B195" t="s">
        <v>12</v>
      </c>
      <c r="C195" t="s">
        <v>18</v>
      </c>
      <c r="D195">
        <v>135</v>
      </c>
      <c r="E195">
        <v>192</v>
      </c>
      <c r="F195">
        <v>0</v>
      </c>
      <c r="G195" t="s">
        <v>14</v>
      </c>
      <c r="H195">
        <v>110</v>
      </c>
      <c r="I195" t="s">
        <v>15</v>
      </c>
      <c r="J195">
        <v>0</v>
      </c>
      <c r="K195" t="s">
        <v>16</v>
      </c>
      <c r="L195">
        <v>0</v>
      </c>
    </row>
    <row r="196" spans="1:12" x14ac:dyDescent="0.3">
      <c r="A196">
        <v>41</v>
      </c>
      <c r="B196" t="s">
        <v>17</v>
      </c>
      <c r="C196" t="s">
        <v>13</v>
      </c>
      <c r="D196">
        <v>125</v>
      </c>
      <c r="E196">
        <v>184</v>
      </c>
      <c r="F196">
        <v>0</v>
      </c>
      <c r="G196" t="s">
        <v>14</v>
      </c>
      <c r="H196">
        <v>180</v>
      </c>
      <c r="I196" t="s">
        <v>15</v>
      </c>
      <c r="J196">
        <v>0</v>
      </c>
      <c r="K196" t="s">
        <v>16</v>
      </c>
      <c r="L196">
        <v>0</v>
      </c>
    </row>
    <row r="197" spans="1:12" x14ac:dyDescent="0.3">
      <c r="A197">
        <v>62</v>
      </c>
      <c r="B197" t="s">
        <v>17</v>
      </c>
      <c r="C197" t="s">
        <v>23</v>
      </c>
      <c r="D197">
        <v>160</v>
      </c>
      <c r="E197">
        <v>193</v>
      </c>
      <c r="F197">
        <v>0</v>
      </c>
      <c r="G197" t="s">
        <v>14</v>
      </c>
      <c r="H197">
        <v>116</v>
      </c>
      <c r="I197" t="s">
        <v>15</v>
      </c>
      <c r="J197">
        <v>0</v>
      </c>
      <c r="K197" t="s">
        <v>16</v>
      </c>
      <c r="L197">
        <v>0</v>
      </c>
    </row>
    <row r="198" spans="1:12" x14ac:dyDescent="0.3">
      <c r="A198">
        <v>49</v>
      </c>
      <c r="B198" t="s">
        <v>12</v>
      </c>
      <c r="C198" t="s">
        <v>21</v>
      </c>
      <c r="D198">
        <v>120</v>
      </c>
      <c r="E198">
        <v>297</v>
      </c>
      <c r="F198">
        <v>0</v>
      </c>
      <c r="G198" t="s">
        <v>14</v>
      </c>
      <c r="H198">
        <v>132</v>
      </c>
      <c r="I198" t="s">
        <v>15</v>
      </c>
      <c r="J198">
        <v>1</v>
      </c>
      <c r="K198" t="s">
        <v>19</v>
      </c>
      <c r="L198">
        <v>0</v>
      </c>
    </row>
    <row r="199" spans="1:12" x14ac:dyDescent="0.3">
      <c r="A199">
        <v>42</v>
      </c>
      <c r="B199" t="s">
        <v>12</v>
      </c>
      <c r="C199" t="s">
        <v>13</v>
      </c>
      <c r="D199">
        <v>150</v>
      </c>
      <c r="E199">
        <v>268</v>
      </c>
      <c r="F199">
        <v>0</v>
      </c>
      <c r="G199" t="s">
        <v>14</v>
      </c>
      <c r="H199">
        <v>136</v>
      </c>
      <c r="I199" t="s">
        <v>15</v>
      </c>
      <c r="J199">
        <v>0</v>
      </c>
      <c r="K199" t="s">
        <v>16</v>
      </c>
      <c r="L199">
        <v>0</v>
      </c>
    </row>
    <row r="200" spans="1:12" x14ac:dyDescent="0.3">
      <c r="A200">
        <v>53</v>
      </c>
      <c r="B200" t="s">
        <v>12</v>
      </c>
      <c r="C200" t="s">
        <v>21</v>
      </c>
      <c r="D200">
        <v>120</v>
      </c>
      <c r="E200">
        <v>246</v>
      </c>
      <c r="F200">
        <v>0</v>
      </c>
      <c r="G200" t="s">
        <v>14</v>
      </c>
      <c r="H200">
        <v>116</v>
      </c>
      <c r="I200" t="s">
        <v>22</v>
      </c>
      <c r="J200">
        <v>0</v>
      </c>
      <c r="K200" t="s">
        <v>19</v>
      </c>
      <c r="L200">
        <v>1</v>
      </c>
    </row>
    <row r="201" spans="1:12" x14ac:dyDescent="0.3">
      <c r="A201">
        <v>57</v>
      </c>
      <c r="B201" t="s">
        <v>17</v>
      </c>
      <c r="C201" t="s">
        <v>23</v>
      </c>
      <c r="D201">
        <v>130</v>
      </c>
      <c r="E201">
        <v>308</v>
      </c>
      <c r="F201">
        <v>0</v>
      </c>
      <c r="G201" t="s">
        <v>14</v>
      </c>
      <c r="H201">
        <v>98</v>
      </c>
      <c r="I201" t="s">
        <v>15</v>
      </c>
      <c r="J201">
        <v>1</v>
      </c>
      <c r="K201" t="s">
        <v>19</v>
      </c>
      <c r="L201">
        <v>0</v>
      </c>
    </row>
    <row r="202" spans="1:12" x14ac:dyDescent="0.3">
      <c r="A202">
        <v>47</v>
      </c>
      <c r="B202" t="s">
        <v>12</v>
      </c>
      <c r="C202" t="s">
        <v>23</v>
      </c>
      <c r="D202">
        <v>110</v>
      </c>
      <c r="E202">
        <v>249</v>
      </c>
      <c r="F202">
        <v>0</v>
      </c>
      <c r="G202" t="s">
        <v>14</v>
      </c>
      <c r="H202">
        <v>150</v>
      </c>
      <c r="I202" t="s">
        <v>15</v>
      </c>
      <c r="J202">
        <v>0</v>
      </c>
      <c r="K202" t="s">
        <v>16</v>
      </c>
      <c r="L202">
        <v>0</v>
      </c>
    </row>
    <row r="203" spans="1:12" x14ac:dyDescent="0.3">
      <c r="A203">
        <v>46</v>
      </c>
      <c r="B203" t="s">
        <v>12</v>
      </c>
      <c r="C203" t="s">
        <v>18</v>
      </c>
      <c r="D203">
        <v>120</v>
      </c>
      <c r="E203">
        <v>230</v>
      </c>
      <c r="F203">
        <v>0</v>
      </c>
      <c r="G203" t="s">
        <v>14</v>
      </c>
      <c r="H203">
        <v>150</v>
      </c>
      <c r="I203" t="s">
        <v>15</v>
      </c>
      <c r="J203">
        <v>0</v>
      </c>
      <c r="K203" t="s">
        <v>16</v>
      </c>
      <c r="L203">
        <v>0</v>
      </c>
    </row>
    <row r="204" spans="1:12" x14ac:dyDescent="0.3">
      <c r="A204">
        <v>42</v>
      </c>
      <c r="B204" t="s">
        <v>12</v>
      </c>
      <c r="C204" t="s">
        <v>18</v>
      </c>
      <c r="D204">
        <v>160</v>
      </c>
      <c r="E204">
        <v>147</v>
      </c>
      <c r="F204">
        <v>0</v>
      </c>
      <c r="G204" t="s">
        <v>14</v>
      </c>
      <c r="H204">
        <v>146</v>
      </c>
      <c r="I204" t="s">
        <v>15</v>
      </c>
      <c r="J204">
        <v>0</v>
      </c>
      <c r="K204" t="s">
        <v>16</v>
      </c>
      <c r="L204">
        <v>0</v>
      </c>
    </row>
    <row r="205" spans="1:12" x14ac:dyDescent="0.3">
      <c r="A205">
        <v>31</v>
      </c>
      <c r="B205" t="s">
        <v>17</v>
      </c>
      <c r="C205" t="s">
        <v>13</v>
      </c>
      <c r="D205">
        <v>100</v>
      </c>
      <c r="E205">
        <v>219</v>
      </c>
      <c r="F205">
        <v>0</v>
      </c>
      <c r="G205" t="s">
        <v>20</v>
      </c>
      <c r="H205">
        <v>150</v>
      </c>
      <c r="I205" t="s">
        <v>15</v>
      </c>
      <c r="J205">
        <v>0</v>
      </c>
      <c r="K205" t="s">
        <v>16</v>
      </c>
      <c r="L205">
        <v>0</v>
      </c>
    </row>
    <row r="206" spans="1:12" x14ac:dyDescent="0.3">
      <c r="A206">
        <v>56</v>
      </c>
      <c r="B206" t="s">
        <v>12</v>
      </c>
      <c r="C206" t="s">
        <v>13</v>
      </c>
      <c r="D206">
        <v>130</v>
      </c>
      <c r="E206">
        <v>184</v>
      </c>
      <c r="F206">
        <v>0</v>
      </c>
      <c r="G206" t="s">
        <v>14</v>
      </c>
      <c r="H206">
        <v>100</v>
      </c>
      <c r="I206" t="s">
        <v>15</v>
      </c>
      <c r="J206">
        <v>0</v>
      </c>
      <c r="K206" t="s">
        <v>16</v>
      </c>
      <c r="L206">
        <v>0</v>
      </c>
    </row>
    <row r="207" spans="1:12" x14ac:dyDescent="0.3">
      <c r="A207">
        <v>50</v>
      </c>
      <c r="B207" t="s">
        <v>12</v>
      </c>
      <c r="C207" t="s">
        <v>21</v>
      </c>
      <c r="D207">
        <v>150</v>
      </c>
      <c r="E207">
        <v>215</v>
      </c>
      <c r="F207">
        <v>0</v>
      </c>
      <c r="G207" t="s">
        <v>14</v>
      </c>
      <c r="H207">
        <v>140</v>
      </c>
      <c r="I207" t="s">
        <v>22</v>
      </c>
      <c r="J207">
        <v>0</v>
      </c>
      <c r="K207" t="s">
        <v>16</v>
      </c>
      <c r="L207">
        <v>0</v>
      </c>
    </row>
    <row r="208" spans="1:12" x14ac:dyDescent="0.3">
      <c r="A208">
        <v>35</v>
      </c>
      <c r="B208" t="s">
        <v>12</v>
      </c>
      <c r="C208" t="s">
        <v>13</v>
      </c>
      <c r="D208">
        <v>120</v>
      </c>
      <c r="E208">
        <v>308</v>
      </c>
      <c r="F208">
        <v>0</v>
      </c>
      <c r="G208" t="s">
        <v>24</v>
      </c>
      <c r="H208">
        <v>180</v>
      </c>
      <c r="I208" t="s">
        <v>15</v>
      </c>
      <c r="J208">
        <v>0</v>
      </c>
      <c r="K208" t="s">
        <v>16</v>
      </c>
      <c r="L208">
        <v>0</v>
      </c>
    </row>
    <row r="209" spans="1:12" x14ac:dyDescent="0.3">
      <c r="A209">
        <v>35</v>
      </c>
      <c r="B209" t="s">
        <v>12</v>
      </c>
      <c r="C209" t="s">
        <v>13</v>
      </c>
      <c r="D209">
        <v>110</v>
      </c>
      <c r="E209">
        <v>257</v>
      </c>
      <c r="F209">
        <v>0</v>
      </c>
      <c r="G209" t="s">
        <v>14</v>
      </c>
      <c r="H209">
        <v>140</v>
      </c>
      <c r="I209" t="s">
        <v>15</v>
      </c>
      <c r="J209">
        <v>0</v>
      </c>
      <c r="K209" t="s">
        <v>19</v>
      </c>
      <c r="L209">
        <v>1</v>
      </c>
    </row>
    <row r="210" spans="1:12" x14ac:dyDescent="0.3">
      <c r="A210">
        <v>28</v>
      </c>
      <c r="B210" t="s">
        <v>12</v>
      </c>
      <c r="C210" t="s">
        <v>13</v>
      </c>
      <c r="D210">
        <v>130</v>
      </c>
      <c r="E210">
        <v>132</v>
      </c>
      <c r="F210">
        <v>0</v>
      </c>
      <c r="G210" t="s">
        <v>24</v>
      </c>
      <c r="H210">
        <v>185</v>
      </c>
      <c r="I210" t="s">
        <v>15</v>
      </c>
      <c r="J210">
        <v>0</v>
      </c>
      <c r="K210" t="s">
        <v>16</v>
      </c>
      <c r="L210">
        <v>0</v>
      </c>
    </row>
    <row r="211" spans="1:12" x14ac:dyDescent="0.3">
      <c r="A211">
        <v>54</v>
      </c>
      <c r="B211" t="s">
        <v>12</v>
      </c>
      <c r="C211" t="s">
        <v>21</v>
      </c>
      <c r="D211">
        <v>125</v>
      </c>
      <c r="E211">
        <v>216</v>
      </c>
      <c r="F211">
        <v>0</v>
      </c>
      <c r="G211" t="s">
        <v>14</v>
      </c>
      <c r="H211">
        <v>140</v>
      </c>
      <c r="I211" t="s">
        <v>15</v>
      </c>
      <c r="J211">
        <v>0</v>
      </c>
      <c r="K211" t="s">
        <v>19</v>
      </c>
      <c r="L211">
        <v>1</v>
      </c>
    </row>
    <row r="212" spans="1:12" x14ac:dyDescent="0.3">
      <c r="A212">
        <v>48</v>
      </c>
      <c r="B212" t="s">
        <v>12</v>
      </c>
      <c r="C212" t="s">
        <v>21</v>
      </c>
      <c r="D212">
        <v>106</v>
      </c>
      <c r="E212">
        <v>263</v>
      </c>
      <c r="F212">
        <v>1</v>
      </c>
      <c r="G212" t="s">
        <v>14</v>
      </c>
      <c r="H212">
        <v>110</v>
      </c>
      <c r="I212" t="s">
        <v>15</v>
      </c>
      <c r="J212">
        <v>0</v>
      </c>
      <c r="K212" t="s">
        <v>19</v>
      </c>
      <c r="L212">
        <v>1</v>
      </c>
    </row>
    <row r="213" spans="1:12" x14ac:dyDescent="0.3">
      <c r="A213">
        <v>50</v>
      </c>
      <c r="B213" t="s">
        <v>17</v>
      </c>
      <c r="C213" t="s">
        <v>18</v>
      </c>
      <c r="D213">
        <v>140</v>
      </c>
      <c r="E213">
        <v>288</v>
      </c>
      <c r="F213">
        <v>0</v>
      </c>
      <c r="G213" t="s">
        <v>14</v>
      </c>
      <c r="H213">
        <v>140</v>
      </c>
      <c r="I213" t="s">
        <v>22</v>
      </c>
      <c r="J213">
        <v>0</v>
      </c>
      <c r="K213" t="s">
        <v>19</v>
      </c>
      <c r="L213">
        <v>1</v>
      </c>
    </row>
    <row r="214" spans="1:12" x14ac:dyDescent="0.3">
      <c r="A214">
        <v>56</v>
      </c>
      <c r="B214" t="s">
        <v>12</v>
      </c>
      <c r="C214" t="s">
        <v>18</v>
      </c>
      <c r="D214">
        <v>130</v>
      </c>
      <c r="E214">
        <v>276</v>
      </c>
      <c r="F214">
        <v>0</v>
      </c>
      <c r="G214" t="s">
        <v>14</v>
      </c>
      <c r="H214">
        <v>128</v>
      </c>
      <c r="I214" t="s">
        <v>22</v>
      </c>
      <c r="J214">
        <v>1</v>
      </c>
      <c r="K214" t="s">
        <v>16</v>
      </c>
      <c r="L214">
        <v>0</v>
      </c>
    </row>
    <row r="215" spans="1:12" x14ac:dyDescent="0.3">
      <c r="A215">
        <v>56</v>
      </c>
      <c r="B215" t="s">
        <v>17</v>
      </c>
      <c r="C215" t="s">
        <v>18</v>
      </c>
      <c r="D215">
        <v>130</v>
      </c>
      <c r="E215">
        <v>219</v>
      </c>
      <c r="F215">
        <v>0</v>
      </c>
      <c r="G215" t="s">
        <v>20</v>
      </c>
      <c r="H215">
        <v>164</v>
      </c>
      <c r="I215" t="s">
        <v>15</v>
      </c>
      <c r="J215">
        <v>0</v>
      </c>
      <c r="K215" t="s">
        <v>16</v>
      </c>
      <c r="L215">
        <v>0</v>
      </c>
    </row>
    <row r="216" spans="1:12" x14ac:dyDescent="0.3">
      <c r="A216">
        <v>47</v>
      </c>
      <c r="B216" t="s">
        <v>12</v>
      </c>
      <c r="C216" t="s">
        <v>21</v>
      </c>
      <c r="D216">
        <v>150</v>
      </c>
      <c r="E216">
        <v>226</v>
      </c>
      <c r="F216">
        <v>0</v>
      </c>
      <c r="G216" t="s">
        <v>14</v>
      </c>
      <c r="H216">
        <v>98</v>
      </c>
      <c r="I216" t="s">
        <v>22</v>
      </c>
      <c r="J216">
        <v>1.5</v>
      </c>
      <c r="K216" t="s">
        <v>19</v>
      </c>
      <c r="L216">
        <v>1</v>
      </c>
    </row>
    <row r="217" spans="1:12" x14ac:dyDescent="0.3">
      <c r="A217">
        <v>30</v>
      </c>
      <c r="B217" t="s">
        <v>17</v>
      </c>
      <c r="C217" t="s">
        <v>23</v>
      </c>
      <c r="D217">
        <v>170</v>
      </c>
      <c r="E217">
        <v>237</v>
      </c>
      <c r="F217">
        <v>0</v>
      </c>
      <c r="G217" t="s">
        <v>20</v>
      </c>
      <c r="H217">
        <v>170</v>
      </c>
      <c r="I217" t="s">
        <v>15</v>
      </c>
      <c r="J217">
        <v>0</v>
      </c>
      <c r="K217" t="s">
        <v>16</v>
      </c>
      <c r="L217">
        <v>0</v>
      </c>
    </row>
    <row r="218" spans="1:12" x14ac:dyDescent="0.3">
      <c r="A218">
        <v>39</v>
      </c>
      <c r="B218" t="s">
        <v>12</v>
      </c>
      <c r="C218" t="s">
        <v>21</v>
      </c>
      <c r="D218">
        <v>110</v>
      </c>
      <c r="E218">
        <v>280</v>
      </c>
      <c r="F218">
        <v>0</v>
      </c>
      <c r="G218" t="s">
        <v>14</v>
      </c>
      <c r="H218">
        <v>150</v>
      </c>
      <c r="I218" t="s">
        <v>15</v>
      </c>
      <c r="J218">
        <v>0</v>
      </c>
      <c r="K218" t="s">
        <v>19</v>
      </c>
      <c r="L218">
        <v>1</v>
      </c>
    </row>
    <row r="219" spans="1:12" x14ac:dyDescent="0.3">
      <c r="A219">
        <v>54</v>
      </c>
      <c r="B219" t="s">
        <v>12</v>
      </c>
      <c r="C219" t="s">
        <v>18</v>
      </c>
      <c r="D219">
        <v>120</v>
      </c>
      <c r="E219">
        <v>217</v>
      </c>
      <c r="F219">
        <v>0</v>
      </c>
      <c r="G219" t="s">
        <v>14</v>
      </c>
      <c r="H219">
        <v>137</v>
      </c>
      <c r="I219" t="s">
        <v>15</v>
      </c>
      <c r="J219">
        <v>0</v>
      </c>
      <c r="K219" t="s">
        <v>16</v>
      </c>
      <c r="L219">
        <v>0</v>
      </c>
    </row>
    <row r="220" spans="1:12" x14ac:dyDescent="0.3">
      <c r="A220">
        <v>55</v>
      </c>
      <c r="B220" t="s">
        <v>12</v>
      </c>
      <c r="C220" t="s">
        <v>13</v>
      </c>
      <c r="D220">
        <v>140</v>
      </c>
      <c r="E220">
        <v>196</v>
      </c>
      <c r="F220">
        <v>0</v>
      </c>
      <c r="G220" t="s">
        <v>14</v>
      </c>
      <c r="H220">
        <v>150</v>
      </c>
      <c r="I220" t="s">
        <v>15</v>
      </c>
      <c r="J220">
        <v>0</v>
      </c>
      <c r="K220" t="s">
        <v>16</v>
      </c>
      <c r="L220">
        <v>0</v>
      </c>
    </row>
    <row r="221" spans="1:12" x14ac:dyDescent="0.3">
      <c r="A221">
        <v>29</v>
      </c>
      <c r="B221" t="s">
        <v>12</v>
      </c>
      <c r="C221" t="s">
        <v>13</v>
      </c>
      <c r="D221">
        <v>140</v>
      </c>
      <c r="E221">
        <v>263</v>
      </c>
      <c r="F221">
        <v>0</v>
      </c>
      <c r="G221" t="s">
        <v>14</v>
      </c>
      <c r="H221">
        <v>170</v>
      </c>
      <c r="I221" t="s">
        <v>15</v>
      </c>
      <c r="J221">
        <v>0</v>
      </c>
      <c r="K221" t="s">
        <v>16</v>
      </c>
      <c r="L221">
        <v>0</v>
      </c>
    </row>
    <row r="222" spans="1:12" x14ac:dyDescent="0.3">
      <c r="A222">
        <v>46</v>
      </c>
      <c r="B222" t="s">
        <v>12</v>
      </c>
      <c r="C222" t="s">
        <v>21</v>
      </c>
      <c r="D222">
        <v>130</v>
      </c>
      <c r="E222">
        <v>222</v>
      </c>
      <c r="F222">
        <v>0</v>
      </c>
      <c r="G222" t="s">
        <v>14</v>
      </c>
      <c r="H222">
        <v>112</v>
      </c>
      <c r="I222" t="s">
        <v>15</v>
      </c>
      <c r="J222">
        <v>0</v>
      </c>
      <c r="K222" t="s">
        <v>19</v>
      </c>
      <c r="L222">
        <v>1</v>
      </c>
    </row>
    <row r="223" spans="1:12" x14ac:dyDescent="0.3">
      <c r="A223">
        <v>51</v>
      </c>
      <c r="B223" t="s">
        <v>17</v>
      </c>
      <c r="C223" t="s">
        <v>21</v>
      </c>
      <c r="D223">
        <v>160</v>
      </c>
      <c r="E223">
        <v>303</v>
      </c>
      <c r="F223">
        <v>0</v>
      </c>
      <c r="G223" t="s">
        <v>14</v>
      </c>
      <c r="H223">
        <v>150</v>
      </c>
      <c r="I223" t="s">
        <v>22</v>
      </c>
      <c r="J223">
        <v>1</v>
      </c>
      <c r="K223" t="s">
        <v>19</v>
      </c>
      <c r="L223">
        <v>1</v>
      </c>
    </row>
    <row r="224" spans="1:12" x14ac:dyDescent="0.3">
      <c r="A224">
        <v>48</v>
      </c>
      <c r="B224" t="s">
        <v>17</v>
      </c>
      <c r="C224" t="s">
        <v>18</v>
      </c>
      <c r="D224">
        <v>120</v>
      </c>
      <c r="E224">
        <v>195</v>
      </c>
      <c r="F224">
        <v>0</v>
      </c>
      <c r="G224" t="s">
        <v>14</v>
      </c>
      <c r="H224">
        <v>125</v>
      </c>
      <c r="I224" t="s">
        <v>15</v>
      </c>
      <c r="J224">
        <v>0</v>
      </c>
      <c r="K224" t="s">
        <v>16</v>
      </c>
      <c r="L224">
        <v>0</v>
      </c>
    </row>
    <row r="225" spans="1:12" x14ac:dyDescent="0.3">
      <c r="A225">
        <v>33</v>
      </c>
      <c r="B225" t="s">
        <v>12</v>
      </c>
      <c r="C225" t="s">
        <v>18</v>
      </c>
      <c r="D225">
        <v>120</v>
      </c>
      <c r="E225">
        <v>298</v>
      </c>
      <c r="F225">
        <v>0</v>
      </c>
      <c r="G225" t="s">
        <v>14</v>
      </c>
      <c r="H225">
        <v>185</v>
      </c>
      <c r="I225" t="s">
        <v>15</v>
      </c>
      <c r="J225">
        <v>0</v>
      </c>
      <c r="K225" t="s">
        <v>16</v>
      </c>
      <c r="L225">
        <v>0</v>
      </c>
    </row>
    <row r="226" spans="1:12" x14ac:dyDescent="0.3">
      <c r="A226">
        <v>55</v>
      </c>
      <c r="B226" t="s">
        <v>12</v>
      </c>
      <c r="C226" t="s">
        <v>13</v>
      </c>
      <c r="D226">
        <v>120</v>
      </c>
      <c r="E226">
        <v>256</v>
      </c>
      <c r="F226">
        <v>1</v>
      </c>
      <c r="G226" t="s">
        <v>14</v>
      </c>
      <c r="H226">
        <v>137</v>
      </c>
      <c r="I226" t="s">
        <v>15</v>
      </c>
      <c r="J226">
        <v>0</v>
      </c>
      <c r="K226" t="s">
        <v>16</v>
      </c>
      <c r="L226">
        <v>0</v>
      </c>
    </row>
    <row r="227" spans="1:12" x14ac:dyDescent="0.3">
      <c r="A227">
        <v>50</v>
      </c>
      <c r="B227" t="s">
        <v>12</v>
      </c>
      <c r="C227" t="s">
        <v>21</v>
      </c>
      <c r="D227">
        <v>145</v>
      </c>
      <c r="E227">
        <v>264</v>
      </c>
      <c r="F227">
        <v>0</v>
      </c>
      <c r="G227" t="s">
        <v>14</v>
      </c>
      <c r="H227">
        <v>150</v>
      </c>
      <c r="I227" t="s">
        <v>15</v>
      </c>
      <c r="J227">
        <v>0</v>
      </c>
      <c r="K227" t="s">
        <v>19</v>
      </c>
      <c r="L227">
        <v>1</v>
      </c>
    </row>
    <row r="228" spans="1:12" x14ac:dyDescent="0.3">
      <c r="A228">
        <v>53</v>
      </c>
      <c r="B228" t="s">
        <v>12</v>
      </c>
      <c r="C228" t="s">
        <v>18</v>
      </c>
      <c r="D228">
        <v>120</v>
      </c>
      <c r="E228">
        <v>195</v>
      </c>
      <c r="F228">
        <v>0</v>
      </c>
      <c r="G228" t="s">
        <v>14</v>
      </c>
      <c r="H228">
        <v>140</v>
      </c>
      <c r="I228" t="s">
        <v>15</v>
      </c>
      <c r="J228">
        <v>0</v>
      </c>
      <c r="K228" t="s">
        <v>16</v>
      </c>
      <c r="L228">
        <v>0</v>
      </c>
    </row>
    <row r="229" spans="1:12" x14ac:dyDescent="0.3">
      <c r="A229">
        <v>38</v>
      </c>
      <c r="B229" t="s">
        <v>12</v>
      </c>
      <c r="C229" t="s">
        <v>21</v>
      </c>
      <c r="D229">
        <v>92</v>
      </c>
      <c r="E229">
        <v>117</v>
      </c>
      <c r="F229">
        <v>0</v>
      </c>
      <c r="G229" t="s">
        <v>14</v>
      </c>
      <c r="H229">
        <v>134</v>
      </c>
      <c r="I229" t="s">
        <v>22</v>
      </c>
      <c r="J229">
        <v>2.5</v>
      </c>
      <c r="K229" t="s">
        <v>19</v>
      </c>
      <c r="L229">
        <v>1</v>
      </c>
    </row>
    <row r="230" spans="1:12" x14ac:dyDescent="0.3">
      <c r="A230">
        <v>41</v>
      </c>
      <c r="B230" t="s">
        <v>12</v>
      </c>
      <c r="C230" t="s">
        <v>13</v>
      </c>
      <c r="D230">
        <v>120</v>
      </c>
      <c r="E230">
        <v>295</v>
      </c>
      <c r="F230">
        <v>0</v>
      </c>
      <c r="G230" t="s">
        <v>14</v>
      </c>
      <c r="H230">
        <v>170</v>
      </c>
      <c r="I230" t="s">
        <v>15</v>
      </c>
      <c r="J230">
        <v>0</v>
      </c>
      <c r="K230" t="s">
        <v>16</v>
      </c>
      <c r="L230">
        <v>0</v>
      </c>
    </row>
    <row r="231" spans="1:12" x14ac:dyDescent="0.3">
      <c r="A231">
        <v>37</v>
      </c>
      <c r="B231" t="s">
        <v>17</v>
      </c>
      <c r="C231" t="s">
        <v>21</v>
      </c>
      <c r="D231">
        <v>130</v>
      </c>
      <c r="E231">
        <v>173</v>
      </c>
      <c r="F231">
        <v>0</v>
      </c>
      <c r="G231" t="s">
        <v>20</v>
      </c>
      <c r="H231">
        <v>184</v>
      </c>
      <c r="I231" t="s">
        <v>15</v>
      </c>
      <c r="J231">
        <v>0</v>
      </c>
      <c r="K231" t="s">
        <v>16</v>
      </c>
      <c r="L231">
        <v>0</v>
      </c>
    </row>
    <row r="232" spans="1:12" x14ac:dyDescent="0.3">
      <c r="A232">
        <v>37</v>
      </c>
      <c r="B232" t="s">
        <v>12</v>
      </c>
      <c r="C232" t="s">
        <v>21</v>
      </c>
      <c r="D232">
        <v>130</v>
      </c>
      <c r="E232">
        <v>315</v>
      </c>
      <c r="F232">
        <v>0</v>
      </c>
      <c r="G232" t="s">
        <v>14</v>
      </c>
      <c r="H232">
        <v>158</v>
      </c>
      <c r="I232" t="s">
        <v>15</v>
      </c>
      <c r="J232">
        <v>0</v>
      </c>
      <c r="K232" t="s">
        <v>16</v>
      </c>
      <c r="L232">
        <v>0</v>
      </c>
    </row>
    <row r="233" spans="1:12" x14ac:dyDescent="0.3">
      <c r="A233">
        <v>40</v>
      </c>
      <c r="B233" t="s">
        <v>12</v>
      </c>
      <c r="C233" t="s">
        <v>18</v>
      </c>
      <c r="D233">
        <v>130</v>
      </c>
      <c r="E233">
        <v>281</v>
      </c>
      <c r="F233">
        <v>0</v>
      </c>
      <c r="G233" t="s">
        <v>14</v>
      </c>
      <c r="H233">
        <v>167</v>
      </c>
      <c r="I233" t="s">
        <v>15</v>
      </c>
      <c r="J233">
        <v>0</v>
      </c>
      <c r="K233" t="s">
        <v>16</v>
      </c>
      <c r="L233">
        <v>0</v>
      </c>
    </row>
    <row r="234" spans="1:12" x14ac:dyDescent="0.3">
      <c r="A234">
        <v>38</v>
      </c>
      <c r="B234" t="s">
        <v>17</v>
      </c>
      <c r="C234" t="s">
        <v>13</v>
      </c>
      <c r="D234">
        <v>120</v>
      </c>
      <c r="E234">
        <v>275</v>
      </c>
      <c r="F234">
        <v>0</v>
      </c>
      <c r="G234" t="s">
        <v>14</v>
      </c>
      <c r="H234">
        <v>129</v>
      </c>
      <c r="I234" t="s">
        <v>15</v>
      </c>
      <c r="J234">
        <v>0</v>
      </c>
      <c r="K234" t="s">
        <v>16</v>
      </c>
      <c r="L234">
        <v>0</v>
      </c>
    </row>
    <row r="235" spans="1:12" x14ac:dyDescent="0.3">
      <c r="A235">
        <v>41</v>
      </c>
      <c r="B235" t="s">
        <v>12</v>
      </c>
      <c r="C235" t="s">
        <v>21</v>
      </c>
      <c r="D235">
        <v>112</v>
      </c>
      <c r="E235">
        <v>250</v>
      </c>
      <c r="F235">
        <v>0</v>
      </c>
      <c r="G235" t="s">
        <v>14</v>
      </c>
      <c r="H235">
        <v>142</v>
      </c>
      <c r="I235" t="s">
        <v>15</v>
      </c>
      <c r="J235">
        <v>0</v>
      </c>
      <c r="K235" t="s">
        <v>16</v>
      </c>
      <c r="L235">
        <v>0</v>
      </c>
    </row>
    <row r="236" spans="1:12" x14ac:dyDescent="0.3">
      <c r="A236">
        <v>54</v>
      </c>
      <c r="B236" t="s">
        <v>17</v>
      </c>
      <c r="C236" t="s">
        <v>13</v>
      </c>
      <c r="D236">
        <v>140</v>
      </c>
      <c r="E236">
        <v>309</v>
      </c>
      <c r="F236">
        <v>0</v>
      </c>
      <c r="G236" t="s">
        <v>20</v>
      </c>
      <c r="H236">
        <v>140</v>
      </c>
      <c r="I236" t="s">
        <v>15</v>
      </c>
      <c r="J236">
        <v>0</v>
      </c>
      <c r="K236" t="s">
        <v>16</v>
      </c>
      <c r="L236">
        <v>0</v>
      </c>
    </row>
    <row r="237" spans="1:12" x14ac:dyDescent="0.3">
      <c r="A237">
        <v>39</v>
      </c>
      <c r="B237" t="s">
        <v>12</v>
      </c>
      <c r="C237" t="s">
        <v>13</v>
      </c>
      <c r="D237">
        <v>120</v>
      </c>
      <c r="E237">
        <v>200</v>
      </c>
      <c r="F237">
        <v>0</v>
      </c>
      <c r="G237" t="s">
        <v>14</v>
      </c>
      <c r="H237">
        <v>160</v>
      </c>
      <c r="I237" t="s">
        <v>22</v>
      </c>
      <c r="J237">
        <v>1</v>
      </c>
      <c r="K237" t="s">
        <v>19</v>
      </c>
      <c r="L237">
        <v>0</v>
      </c>
    </row>
    <row r="238" spans="1:12" x14ac:dyDescent="0.3">
      <c r="A238">
        <v>41</v>
      </c>
      <c r="B238" t="s">
        <v>12</v>
      </c>
      <c r="C238" t="s">
        <v>21</v>
      </c>
      <c r="D238">
        <v>120</v>
      </c>
      <c r="E238">
        <v>336</v>
      </c>
      <c r="F238">
        <v>0</v>
      </c>
      <c r="G238" t="s">
        <v>14</v>
      </c>
      <c r="H238">
        <v>118</v>
      </c>
      <c r="I238" t="s">
        <v>22</v>
      </c>
      <c r="J238">
        <v>3</v>
      </c>
      <c r="K238" t="s">
        <v>19</v>
      </c>
      <c r="L238">
        <v>1</v>
      </c>
    </row>
    <row r="239" spans="1:12" x14ac:dyDescent="0.3">
      <c r="A239">
        <v>55</v>
      </c>
      <c r="B239" t="s">
        <v>12</v>
      </c>
      <c r="C239" t="s">
        <v>23</v>
      </c>
      <c r="D239">
        <v>140</v>
      </c>
      <c r="E239">
        <v>295</v>
      </c>
      <c r="F239">
        <v>0</v>
      </c>
      <c r="G239" t="s">
        <v>14</v>
      </c>
      <c r="H239">
        <v>136</v>
      </c>
      <c r="I239" t="s">
        <v>15</v>
      </c>
      <c r="J239">
        <v>0</v>
      </c>
      <c r="K239" t="s">
        <v>19</v>
      </c>
      <c r="L239">
        <v>1</v>
      </c>
    </row>
    <row r="240" spans="1:12" x14ac:dyDescent="0.3">
      <c r="A240">
        <v>48</v>
      </c>
      <c r="B240" t="s">
        <v>12</v>
      </c>
      <c r="C240" t="s">
        <v>21</v>
      </c>
      <c r="D240">
        <v>160</v>
      </c>
      <c r="E240">
        <v>355</v>
      </c>
      <c r="F240">
        <v>0</v>
      </c>
      <c r="G240" t="s">
        <v>14</v>
      </c>
      <c r="H240">
        <v>99</v>
      </c>
      <c r="I240" t="s">
        <v>22</v>
      </c>
      <c r="J240">
        <v>2</v>
      </c>
      <c r="K240" t="s">
        <v>19</v>
      </c>
      <c r="L240">
        <v>1</v>
      </c>
    </row>
    <row r="241" spans="1:12" x14ac:dyDescent="0.3">
      <c r="A241">
        <v>48</v>
      </c>
      <c r="B241" t="s">
        <v>12</v>
      </c>
      <c r="C241" t="s">
        <v>21</v>
      </c>
      <c r="D241">
        <v>160</v>
      </c>
      <c r="E241">
        <v>193</v>
      </c>
      <c r="F241">
        <v>0</v>
      </c>
      <c r="G241" t="s">
        <v>14</v>
      </c>
      <c r="H241">
        <v>102</v>
      </c>
      <c r="I241" t="s">
        <v>22</v>
      </c>
      <c r="J241">
        <v>3</v>
      </c>
      <c r="K241" t="s">
        <v>19</v>
      </c>
      <c r="L241">
        <v>1</v>
      </c>
    </row>
    <row r="242" spans="1:12" x14ac:dyDescent="0.3">
      <c r="A242">
        <v>55</v>
      </c>
      <c r="B242" t="s">
        <v>12</v>
      </c>
      <c r="C242" t="s">
        <v>13</v>
      </c>
      <c r="D242">
        <v>145</v>
      </c>
      <c r="E242">
        <v>326</v>
      </c>
      <c r="F242">
        <v>0</v>
      </c>
      <c r="G242" t="s">
        <v>14</v>
      </c>
      <c r="H242">
        <v>155</v>
      </c>
      <c r="I242" t="s">
        <v>15</v>
      </c>
      <c r="J242">
        <v>0</v>
      </c>
      <c r="K242" t="s">
        <v>16</v>
      </c>
      <c r="L242">
        <v>0</v>
      </c>
    </row>
    <row r="243" spans="1:12" x14ac:dyDescent="0.3">
      <c r="A243">
        <v>54</v>
      </c>
      <c r="B243" t="s">
        <v>12</v>
      </c>
      <c r="C243" t="s">
        <v>21</v>
      </c>
      <c r="D243">
        <v>200</v>
      </c>
      <c r="E243">
        <v>198</v>
      </c>
      <c r="F243">
        <v>0</v>
      </c>
      <c r="G243" t="s">
        <v>14</v>
      </c>
      <c r="H243">
        <v>142</v>
      </c>
      <c r="I243" t="s">
        <v>22</v>
      </c>
      <c r="J243">
        <v>2</v>
      </c>
      <c r="K243" t="s">
        <v>19</v>
      </c>
      <c r="L243">
        <v>1</v>
      </c>
    </row>
    <row r="244" spans="1:12" x14ac:dyDescent="0.3">
      <c r="A244">
        <v>55</v>
      </c>
      <c r="B244" t="s">
        <v>12</v>
      </c>
      <c r="C244" t="s">
        <v>13</v>
      </c>
      <c r="D244">
        <v>160</v>
      </c>
      <c r="E244">
        <v>292</v>
      </c>
      <c r="F244">
        <v>1</v>
      </c>
      <c r="G244" t="s">
        <v>14</v>
      </c>
      <c r="H244">
        <v>143</v>
      </c>
      <c r="I244" t="s">
        <v>22</v>
      </c>
      <c r="J244">
        <v>2</v>
      </c>
      <c r="K244" t="s">
        <v>19</v>
      </c>
      <c r="L244">
        <v>1</v>
      </c>
    </row>
    <row r="245" spans="1:12" x14ac:dyDescent="0.3">
      <c r="A245">
        <v>43</v>
      </c>
      <c r="B245" t="s">
        <v>17</v>
      </c>
      <c r="C245" t="s">
        <v>13</v>
      </c>
      <c r="D245">
        <v>120</v>
      </c>
      <c r="E245">
        <v>266</v>
      </c>
      <c r="F245">
        <v>0</v>
      </c>
      <c r="G245" t="s">
        <v>14</v>
      </c>
      <c r="H245">
        <v>118</v>
      </c>
      <c r="I245" t="s">
        <v>15</v>
      </c>
      <c r="J245">
        <v>0</v>
      </c>
      <c r="K245" t="s">
        <v>16</v>
      </c>
      <c r="L245">
        <v>0</v>
      </c>
    </row>
    <row r="246" spans="1:12" x14ac:dyDescent="0.3">
      <c r="A246">
        <v>48</v>
      </c>
      <c r="B246" t="s">
        <v>12</v>
      </c>
      <c r="C246" t="s">
        <v>21</v>
      </c>
      <c r="D246">
        <v>160</v>
      </c>
      <c r="E246">
        <v>268</v>
      </c>
      <c r="F246">
        <v>0</v>
      </c>
      <c r="G246" t="s">
        <v>14</v>
      </c>
      <c r="H246">
        <v>103</v>
      </c>
      <c r="I246" t="s">
        <v>22</v>
      </c>
      <c r="J246">
        <v>1</v>
      </c>
      <c r="K246" t="s">
        <v>19</v>
      </c>
      <c r="L246">
        <v>1</v>
      </c>
    </row>
    <row r="247" spans="1:12" x14ac:dyDescent="0.3">
      <c r="A247">
        <v>54</v>
      </c>
      <c r="B247" t="s">
        <v>12</v>
      </c>
      <c r="C247" t="s">
        <v>23</v>
      </c>
      <c r="D247">
        <v>120</v>
      </c>
      <c r="E247">
        <v>171</v>
      </c>
      <c r="F247">
        <v>0</v>
      </c>
      <c r="G247" t="s">
        <v>14</v>
      </c>
      <c r="H247">
        <v>137</v>
      </c>
      <c r="I247" t="s">
        <v>15</v>
      </c>
      <c r="J247">
        <v>2</v>
      </c>
      <c r="K247" t="s">
        <v>16</v>
      </c>
      <c r="L247">
        <v>0</v>
      </c>
    </row>
    <row r="248" spans="1:12" x14ac:dyDescent="0.3">
      <c r="A248">
        <v>54</v>
      </c>
      <c r="B248" t="s">
        <v>12</v>
      </c>
      <c r="C248" t="s">
        <v>18</v>
      </c>
      <c r="D248">
        <v>120</v>
      </c>
      <c r="E248">
        <v>237</v>
      </c>
      <c r="F248">
        <v>0</v>
      </c>
      <c r="G248" t="s">
        <v>14</v>
      </c>
      <c r="H248">
        <v>150</v>
      </c>
      <c r="I248" t="s">
        <v>22</v>
      </c>
      <c r="J248">
        <v>1.5</v>
      </c>
      <c r="K248" t="s">
        <v>19</v>
      </c>
      <c r="L248">
        <v>1</v>
      </c>
    </row>
    <row r="249" spans="1:12" x14ac:dyDescent="0.3">
      <c r="A249">
        <v>48</v>
      </c>
      <c r="B249" t="s">
        <v>12</v>
      </c>
      <c r="C249" t="s">
        <v>21</v>
      </c>
      <c r="D249">
        <v>122</v>
      </c>
      <c r="E249">
        <v>275</v>
      </c>
      <c r="F249">
        <v>1</v>
      </c>
      <c r="G249" t="s">
        <v>20</v>
      </c>
      <c r="H249">
        <v>150</v>
      </c>
      <c r="I249" t="s">
        <v>22</v>
      </c>
      <c r="J249">
        <v>2</v>
      </c>
      <c r="K249" t="s">
        <v>25</v>
      </c>
      <c r="L249">
        <v>1</v>
      </c>
    </row>
    <row r="250" spans="1:12" x14ac:dyDescent="0.3">
      <c r="A250">
        <v>45</v>
      </c>
      <c r="B250" t="s">
        <v>12</v>
      </c>
      <c r="C250" t="s">
        <v>21</v>
      </c>
      <c r="D250">
        <v>130</v>
      </c>
      <c r="E250">
        <v>219</v>
      </c>
      <c r="F250">
        <v>0</v>
      </c>
      <c r="G250" t="s">
        <v>20</v>
      </c>
      <c r="H250">
        <v>130</v>
      </c>
      <c r="I250" t="s">
        <v>22</v>
      </c>
      <c r="J250">
        <v>1</v>
      </c>
      <c r="K250" t="s">
        <v>19</v>
      </c>
      <c r="L250">
        <v>1</v>
      </c>
    </row>
    <row r="251" spans="1:12" x14ac:dyDescent="0.3">
      <c r="A251">
        <v>49</v>
      </c>
      <c r="B251" t="s">
        <v>12</v>
      </c>
      <c r="C251" t="s">
        <v>21</v>
      </c>
      <c r="D251">
        <v>130</v>
      </c>
      <c r="E251">
        <v>341</v>
      </c>
      <c r="F251">
        <v>0</v>
      </c>
      <c r="G251" t="s">
        <v>14</v>
      </c>
      <c r="H251">
        <v>120</v>
      </c>
      <c r="I251" t="s">
        <v>22</v>
      </c>
      <c r="J251">
        <v>1</v>
      </c>
      <c r="K251" t="s">
        <v>19</v>
      </c>
      <c r="L251">
        <v>1</v>
      </c>
    </row>
    <row r="252" spans="1:12" x14ac:dyDescent="0.3">
      <c r="A252">
        <v>44</v>
      </c>
      <c r="B252" t="s">
        <v>12</v>
      </c>
      <c r="C252" t="s">
        <v>21</v>
      </c>
      <c r="D252">
        <v>135</v>
      </c>
      <c r="E252">
        <v>491</v>
      </c>
      <c r="F252">
        <v>0</v>
      </c>
      <c r="G252" t="s">
        <v>14</v>
      </c>
      <c r="H252">
        <v>135</v>
      </c>
      <c r="I252" t="s">
        <v>15</v>
      </c>
      <c r="J252">
        <v>0</v>
      </c>
      <c r="K252" t="s">
        <v>19</v>
      </c>
      <c r="L252">
        <v>1</v>
      </c>
    </row>
    <row r="253" spans="1:12" x14ac:dyDescent="0.3">
      <c r="A253">
        <v>48</v>
      </c>
      <c r="B253" t="s">
        <v>12</v>
      </c>
      <c r="C253" t="s">
        <v>21</v>
      </c>
      <c r="D253">
        <v>120</v>
      </c>
      <c r="E253">
        <v>260</v>
      </c>
      <c r="F253">
        <v>0</v>
      </c>
      <c r="G253" t="s">
        <v>14</v>
      </c>
      <c r="H253">
        <v>115</v>
      </c>
      <c r="I253" t="s">
        <v>15</v>
      </c>
      <c r="J253">
        <v>2</v>
      </c>
      <c r="K253" t="s">
        <v>19</v>
      </c>
      <c r="L253">
        <v>1</v>
      </c>
    </row>
    <row r="254" spans="1:12" x14ac:dyDescent="0.3">
      <c r="A254">
        <v>61</v>
      </c>
      <c r="B254" t="s">
        <v>12</v>
      </c>
      <c r="C254" t="s">
        <v>21</v>
      </c>
      <c r="D254">
        <v>125</v>
      </c>
      <c r="E254">
        <v>292</v>
      </c>
      <c r="F254">
        <v>0</v>
      </c>
      <c r="G254" t="s">
        <v>20</v>
      </c>
      <c r="H254">
        <v>115</v>
      </c>
      <c r="I254" t="s">
        <v>22</v>
      </c>
      <c r="J254">
        <v>0</v>
      </c>
      <c r="K254" t="s">
        <v>16</v>
      </c>
      <c r="L254">
        <v>0</v>
      </c>
    </row>
    <row r="255" spans="1:12" x14ac:dyDescent="0.3">
      <c r="A255">
        <v>62</v>
      </c>
      <c r="B255" t="s">
        <v>12</v>
      </c>
      <c r="C255" t="s">
        <v>13</v>
      </c>
      <c r="D255">
        <v>140</v>
      </c>
      <c r="E255">
        <v>271</v>
      </c>
      <c r="F255">
        <v>0</v>
      </c>
      <c r="G255" t="s">
        <v>14</v>
      </c>
      <c r="H255">
        <v>152</v>
      </c>
      <c r="I255" t="s">
        <v>15</v>
      </c>
      <c r="J255">
        <v>1</v>
      </c>
      <c r="K255" t="s">
        <v>16</v>
      </c>
      <c r="L255">
        <v>0</v>
      </c>
    </row>
    <row r="256" spans="1:12" x14ac:dyDescent="0.3">
      <c r="A256">
        <v>55</v>
      </c>
      <c r="B256" t="s">
        <v>12</v>
      </c>
      <c r="C256" t="s">
        <v>21</v>
      </c>
      <c r="D256">
        <v>145</v>
      </c>
      <c r="E256">
        <v>248</v>
      </c>
      <c r="F256">
        <v>0</v>
      </c>
      <c r="G256" t="s">
        <v>14</v>
      </c>
      <c r="H256">
        <v>96</v>
      </c>
      <c r="I256" t="s">
        <v>22</v>
      </c>
      <c r="J256">
        <v>2</v>
      </c>
      <c r="K256" t="s">
        <v>19</v>
      </c>
      <c r="L256">
        <v>1</v>
      </c>
    </row>
    <row r="257" spans="1:12" x14ac:dyDescent="0.3">
      <c r="A257">
        <v>53</v>
      </c>
      <c r="B257" t="s">
        <v>17</v>
      </c>
      <c r="C257" t="s">
        <v>18</v>
      </c>
      <c r="D257">
        <v>120</v>
      </c>
      <c r="E257">
        <v>274</v>
      </c>
      <c r="F257">
        <v>0</v>
      </c>
      <c r="G257" t="s">
        <v>14</v>
      </c>
      <c r="H257">
        <v>130</v>
      </c>
      <c r="I257" t="s">
        <v>15</v>
      </c>
      <c r="J257">
        <v>0</v>
      </c>
      <c r="K257" t="s">
        <v>16</v>
      </c>
      <c r="L257">
        <v>0</v>
      </c>
    </row>
    <row r="258" spans="1:12" x14ac:dyDescent="0.3">
      <c r="A258">
        <v>55</v>
      </c>
      <c r="B258" t="s">
        <v>17</v>
      </c>
      <c r="C258" t="s">
        <v>13</v>
      </c>
      <c r="D258">
        <v>130</v>
      </c>
      <c r="E258">
        <v>394</v>
      </c>
      <c r="F258">
        <v>0</v>
      </c>
      <c r="G258" t="s">
        <v>24</v>
      </c>
      <c r="H258">
        <v>150</v>
      </c>
      <c r="I258" t="s">
        <v>15</v>
      </c>
      <c r="J258">
        <v>0</v>
      </c>
      <c r="K258" t="s">
        <v>16</v>
      </c>
      <c r="L258">
        <v>0</v>
      </c>
    </row>
    <row r="259" spans="1:12" x14ac:dyDescent="0.3">
      <c r="A259">
        <v>36</v>
      </c>
      <c r="B259" t="s">
        <v>12</v>
      </c>
      <c r="C259" t="s">
        <v>18</v>
      </c>
      <c r="D259">
        <v>150</v>
      </c>
      <c r="E259">
        <v>160</v>
      </c>
      <c r="F259">
        <v>0</v>
      </c>
      <c r="G259" t="s">
        <v>14</v>
      </c>
      <c r="H259">
        <v>172</v>
      </c>
      <c r="I259" t="s">
        <v>15</v>
      </c>
      <c r="J259">
        <v>0</v>
      </c>
      <c r="K259" t="s">
        <v>16</v>
      </c>
      <c r="L259">
        <v>0</v>
      </c>
    </row>
    <row r="260" spans="1:12" x14ac:dyDescent="0.3">
      <c r="A260">
        <v>51</v>
      </c>
      <c r="B260" t="s">
        <v>17</v>
      </c>
      <c r="C260" t="s">
        <v>18</v>
      </c>
      <c r="D260">
        <v>150</v>
      </c>
      <c r="E260">
        <v>200</v>
      </c>
      <c r="F260">
        <v>0</v>
      </c>
      <c r="G260" t="s">
        <v>14</v>
      </c>
      <c r="H260">
        <v>120</v>
      </c>
      <c r="I260" t="s">
        <v>15</v>
      </c>
      <c r="J260">
        <v>0.5</v>
      </c>
      <c r="K260" t="s">
        <v>16</v>
      </c>
      <c r="L260">
        <v>0</v>
      </c>
    </row>
    <row r="261" spans="1:12" x14ac:dyDescent="0.3">
      <c r="A261">
        <v>55</v>
      </c>
      <c r="B261" t="s">
        <v>17</v>
      </c>
      <c r="C261" t="s">
        <v>13</v>
      </c>
      <c r="D261">
        <v>122</v>
      </c>
      <c r="E261">
        <v>320</v>
      </c>
      <c r="F261">
        <v>0</v>
      </c>
      <c r="G261" t="s">
        <v>14</v>
      </c>
      <c r="H261">
        <v>155</v>
      </c>
      <c r="I261" t="s">
        <v>15</v>
      </c>
      <c r="J261">
        <v>0</v>
      </c>
      <c r="K261" t="s">
        <v>16</v>
      </c>
      <c r="L261">
        <v>0</v>
      </c>
    </row>
    <row r="262" spans="1:12" x14ac:dyDescent="0.3">
      <c r="A262">
        <v>46</v>
      </c>
      <c r="B262" t="s">
        <v>12</v>
      </c>
      <c r="C262" t="s">
        <v>13</v>
      </c>
      <c r="D262">
        <v>140</v>
      </c>
      <c r="E262">
        <v>275</v>
      </c>
      <c r="F262">
        <v>0</v>
      </c>
      <c r="G262" t="s">
        <v>14</v>
      </c>
      <c r="H262">
        <v>165</v>
      </c>
      <c r="I262" t="s">
        <v>22</v>
      </c>
      <c r="J262">
        <v>0</v>
      </c>
      <c r="K262" t="s">
        <v>16</v>
      </c>
      <c r="L262">
        <v>0</v>
      </c>
    </row>
    <row r="263" spans="1:12" x14ac:dyDescent="0.3">
      <c r="A263">
        <v>54</v>
      </c>
      <c r="B263" t="s">
        <v>17</v>
      </c>
      <c r="C263" t="s">
        <v>13</v>
      </c>
      <c r="D263">
        <v>120</v>
      </c>
      <c r="E263">
        <v>221</v>
      </c>
      <c r="F263">
        <v>0</v>
      </c>
      <c r="G263" t="s">
        <v>14</v>
      </c>
      <c r="H263">
        <v>138</v>
      </c>
      <c r="I263" t="s">
        <v>15</v>
      </c>
      <c r="J263">
        <v>1</v>
      </c>
      <c r="K263" t="s">
        <v>16</v>
      </c>
      <c r="L263">
        <v>0</v>
      </c>
    </row>
    <row r="264" spans="1:12" x14ac:dyDescent="0.3">
      <c r="A264">
        <v>46</v>
      </c>
      <c r="B264" t="s">
        <v>12</v>
      </c>
      <c r="C264" t="s">
        <v>21</v>
      </c>
      <c r="D264">
        <v>120</v>
      </c>
      <c r="E264">
        <v>231</v>
      </c>
      <c r="F264">
        <v>0</v>
      </c>
      <c r="G264" t="s">
        <v>14</v>
      </c>
      <c r="H264">
        <v>115</v>
      </c>
      <c r="I264" t="s">
        <v>22</v>
      </c>
      <c r="J264">
        <v>0</v>
      </c>
      <c r="K264" t="s">
        <v>19</v>
      </c>
      <c r="L264">
        <v>1</v>
      </c>
    </row>
    <row r="265" spans="1:12" x14ac:dyDescent="0.3">
      <c r="A265">
        <v>59</v>
      </c>
      <c r="B265" t="s">
        <v>12</v>
      </c>
      <c r="C265" t="s">
        <v>21</v>
      </c>
      <c r="D265">
        <v>130</v>
      </c>
      <c r="E265">
        <v>126</v>
      </c>
      <c r="F265">
        <v>0</v>
      </c>
      <c r="G265" t="s">
        <v>14</v>
      </c>
      <c r="H265">
        <v>125</v>
      </c>
      <c r="I265" t="s">
        <v>15</v>
      </c>
      <c r="J265">
        <v>0</v>
      </c>
      <c r="K265" t="s">
        <v>19</v>
      </c>
      <c r="L265">
        <v>1</v>
      </c>
    </row>
    <row r="266" spans="1:12" x14ac:dyDescent="0.3">
      <c r="A266">
        <v>47</v>
      </c>
      <c r="B266" t="s">
        <v>12</v>
      </c>
      <c r="C266" t="s">
        <v>18</v>
      </c>
      <c r="D266">
        <v>140</v>
      </c>
      <c r="E266">
        <v>193</v>
      </c>
      <c r="F266">
        <v>0</v>
      </c>
      <c r="G266" t="s">
        <v>14</v>
      </c>
      <c r="H266">
        <v>145</v>
      </c>
      <c r="I266" t="s">
        <v>22</v>
      </c>
      <c r="J266">
        <v>1</v>
      </c>
      <c r="K266" t="s">
        <v>19</v>
      </c>
      <c r="L266">
        <v>1</v>
      </c>
    </row>
    <row r="267" spans="1:12" x14ac:dyDescent="0.3">
      <c r="A267">
        <v>54</v>
      </c>
      <c r="B267" t="s">
        <v>12</v>
      </c>
      <c r="C267" t="s">
        <v>13</v>
      </c>
      <c r="D267">
        <v>160</v>
      </c>
      <c r="E267">
        <v>305</v>
      </c>
      <c r="F267">
        <v>0</v>
      </c>
      <c r="G267" t="s">
        <v>14</v>
      </c>
      <c r="H267">
        <v>175</v>
      </c>
      <c r="I267" t="s">
        <v>15</v>
      </c>
      <c r="J267">
        <v>0</v>
      </c>
      <c r="K267" t="s">
        <v>16</v>
      </c>
      <c r="L267">
        <v>0</v>
      </c>
    </row>
    <row r="268" spans="1:12" x14ac:dyDescent="0.3">
      <c r="A268">
        <v>52</v>
      </c>
      <c r="B268" t="s">
        <v>12</v>
      </c>
      <c r="C268" t="s">
        <v>21</v>
      </c>
      <c r="D268">
        <v>130</v>
      </c>
      <c r="E268">
        <v>298</v>
      </c>
      <c r="F268">
        <v>0</v>
      </c>
      <c r="G268" t="s">
        <v>14</v>
      </c>
      <c r="H268">
        <v>110</v>
      </c>
      <c r="I268" t="s">
        <v>22</v>
      </c>
      <c r="J268">
        <v>1</v>
      </c>
      <c r="K268" t="s">
        <v>19</v>
      </c>
      <c r="L268">
        <v>1</v>
      </c>
    </row>
    <row r="269" spans="1:12" x14ac:dyDescent="0.3">
      <c r="A269">
        <v>34</v>
      </c>
      <c r="B269" t="s">
        <v>12</v>
      </c>
      <c r="C269" t="s">
        <v>13</v>
      </c>
      <c r="D269">
        <v>98</v>
      </c>
      <c r="E269">
        <v>220</v>
      </c>
      <c r="F269">
        <v>0</v>
      </c>
      <c r="G269" t="s">
        <v>14</v>
      </c>
      <c r="H269">
        <v>150</v>
      </c>
      <c r="I269" t="s">
        <v>15</v>
      </c>
      <c r="J269">
        <v>0</v>
      </c>
      <c r="K269" t="s">
        <v>16</v>
      </c>
      <c r="L269">
        <v>0</v>
      </c>
    </row>
    <row r="270" spans="1:12" x14ac:dyDescent="0.3">
      <c r="A270">
        <v>54</v>
      </c>
      <c r="B270" t="s">
        <v>12</v>
      </c>
      <c r="C270" t="s">
        <v>21</v>
      </c>
      <c r="D270">
        <v>130</v>
      </c>
      <c r="E270">
        <v>242</v>
      </c>
      <c r="F270">
        <v>0</v>
      </c>
      <c r="G270" t="s">
        <v>14</v>
      </c>
      <c r="H270">
        <v>91</v>
      </c>
      <c r="I270" t="s">
        <v>22</v>
      </c>
      <c r="J270">
        <v>1</v>
      </c>
      <c r="K270" t="s">
        <v>19</v>
      </c>
      <c r="L270">
        <v>1</v>
      </c>
    </row>
    <row r="271" spans="1:12" x14ac:dyDescent="0.3">
      <c r="A271">
        <v>47</v>
      </c>
      <c r="B271" t="s">
        <v>17</v>
      </c>
      <c r="C271" t="s">
        <v>18</v>
      </c>
      <c r="D271">
        <v>130</v>
      </c>
      <c r="E271">
        <v>235</v>
      </c>
      <c r="F271">
        <v>0</v>
      </c>
      <c r="G271" t="s">
        <v>14</v>
      </c>
      <c r="H271">
        <v>145</v>
      </c>
      <c r="I271" t="s">
        <v>15</v>
      </c>
      <c r="J271">
        <v>2</v>
      </c>
      <c r="K271" t="s">
        <v>19</v>
      </c>
      <c r="L271">
        <v>0</v>
      </c>
    </row>
    <row r="272" spans="1:12" x14ac:dyDescent="0.3">
      <c r="A272">
        <v>45</v>
      </c>
      <c r="B272" t="s">
        <v>12</v>
      </c>
      <c r="C272" t="s">
        <v>21</v>
      </c>
      <c r="D272">
        <v>120</v>
      </c>
      <c r="E272">
        <v>225</v>
      </c>
      <c r="F272">
        <v>0</v>
      </c>
      <c r="G272" t="s">
        <v>14</v>
      </c>
      <c r="H272">
        <v>140</v>
      </c>
      <c r="I272" t="s">
        <v>15</v>
      </c>
      <c r="J272">
        <v>0</v>
      </c>
      <c r="K272" t="s">
        <v>16</v>
      </c>
      <c r="L272">
        <v>0</v>
      </c>
    </row>
    <row r="273" spans="1:12" x14ac:dyDescent="0.3">
      <c r="A273">
        <v>32</v>
      </c>
      <c r="B273" t="s">
        <v>17</v>
      </c>
      <c r="C273" t="s">
        <v>13</v>
      </c>
      <c r="D273">
        <v>105</v>
      </c>
      <c r="E273">
        <v>198</v>
      </c>
      <c r="F273">
        <v>0</v>
      </c>
      <c r="G273" t="s">
        <v>14</v>
      </c>
      <c r="H273">
        <v>165</v>
      </c>
      <c r="I273" t="s">
        <v>15</v>
      </c>
      <c r="J273">
        <v>0</v>
      </c>
      <c r="K273" t="s">
        <v>16</v>
      </c>
      <c r="L273">
        <v>0</v>
      </c>
    </row>
    <row r="274" spans="1:12" x14ac:dyDescent="0.3">
      <c r="A274">
        <v>55</v>
      </c>
      <c r="B274" t="s">
        <v>12</v>
      </c>
      <c r="C274" t="s">
        <v>21</v>
      </c>
      <c r="D274">
        <v>140</v>
      </c>
      <c r="E274">
        <v>201</v>
      </c>
      <c r="F274">
        <v>0</v>
      </c>
      <c r="G274" t="s">
        <v>14</v>
      </c>
      <c r="H274">
        <v>130</v>
      </c>
      <c r="I274" t="s">
        <v>22</v>
      </c>
      <c r="J274">
        <v>3</v>
      </c>
      <c r="K274" t="s">
        <v>19</v>
      </c>
      <c r="L274">
        <v>1</v>
      </c>
    </row>
    <row r="275" spans="1:12" x14ac:dyDescent="0.3">
      <c r="A275">
        <v>55</v>
      </c>
      <c r="B275" t="s">
        <v>12</v>
      </c>
      <c r="C275" t="s">
        <v>18</v>
      </c>
      <c r="D275">
        <v>120</v>
      </c>
      <c r="E275">
        <v>220</v>
      </c>
      <c r="F275">
        <v>0</v>
      </c>
      <c r="G275" t="s">
        <v>24</v>
      </c>
      <c r="H275">
        <v>134</v>
      </c>
      <c r="I275" t="s">
        <v>15</v>
      </c>
      <c r="J275">
        <v>0</v>
      </c>
      <c r="K275" t="s">
        <v>16</v>
      </c>
      <c r="L275">
        <v>0</v>
      </c>
    </row>
    <row r="276" spans="1:12" x14ac:dyDescent="0.3">
      <c r="A276">
        <v>45</v>
      </c>
      <c r="B276" t="s">
        <v>17</v>
      </c>
      <c r="C276" t="s">
        <v>13</v>
      </c>
      <c r="D276">
        <v>180</v>
      </c>
      <c r="E276">
        <v>295</v>
      </c>
      <c r="F276">
        <v>0</v>
      </c>
      <c r="G276" t="s">
        <v>14</v>
      </c>
      <c r="H276">
        <v>180</v>
      </c>
      <c r="I276" t="s">
        <v>15</v>
      </c>
      <c r="J276">
        <v>0</v>
      </c>
      <c r="K276" t="s">
        <v>16</v>
      </c>
      <c r="L276">
        <v>0</v>
      </c>
    </row>
    <row r="277" spans="1:12" x14ac:dyDescent="0.3">
      <c r="A277">
        <v>59</v>
      </c>
      <c r="B277" t="s">
        <v>12</v>
      </c>
      <c r="C277" t="s">
        <v>18</v>
      </c>
      <c r="D277">
        <v>180</v>
      </c>
      <c r="E277">
        <v>213</v>
      </c>
      <c r="F277">
        <v>0</v>
      </c>
      <c r="G277" t="s">
        <v>14</v>
      </c>
      <c r="H277">
        <v>100</v>
      </c>
      <c r="I277" t="s">
        <v>15</v>
      </c>
      <c r="J277">
        <v>0</v>
      </c>
      <c r="K277" t="s">
        <v>16</v>
      </c>
      <c r="L277">
        <v>0</v>
      </c>
    </row>
    <row r="278" spans="1:12" x14ac:dyDescent="0.3">
      <c r="A278">
        <v>51</v>
      </c>
      <c r="B278" t="s">
        <v>12</v>
      </c>
      <c r="C278" t="s">
        <v>18</v>
      </c>
      <c r="D278">
        <v>135</v>
      </c>
      <c r="E278">
        <v>160</v>
      </c>
      <c r="F278">
        <v>0</v>
      </c>
      <c r="G278" t="s">
        <v>14</v>
      </c>
      <c r="H278">
        <v>150</v>
      </c>
      <c r="I278" t="s">
        <v>15</v>
      </c>
      <c r="J278">
        <v>2</v>
      </c>
      <c r="K278" t="s">
        <v>19</v>
      </c>
      <c r="L278">
        <v>1</v>
      </c>
    </row>
    <row r="279" spans="1:12" x14ac:dyDescent="0.3">
      <c r="A279">
        <v>52</v>
      </c>
      <c r="B279" t="s">
        <v>12</v>
      </c>
      <c r="C279" t="s">
        <v>21</v>
      </c>
      <c r="D279">
        <v>170</v>
      </c>
      <c r="E279">
        <v>223</v>
      </c>
      <c r="F279">
        <v>0</v>
      </c>
      <c r="G279" t="s">
        <v>14</v>
      </c>
      <c r="H279">
        <v>126</v>
      </c>
      <c r="I279" t="s">
        <v>22</v>
      </c>
      <c r="J279">
        <v>1.5</v>
      </c>
      <c r="K279" t="s">
        <v>19</v>
      </c>
      <c r="L279">
        <v>1</v>
      </c>
    </row>
    <row r="280" spans="1:12" x14ac:dyDescent="0.3">
      <c r="A280">
        <v>57</v>
      </c>
      <c r="B280" t="s">
        <v>17</v>
      </c>
      <c r="C280" t="s">
        <v>21</v>
      </c>
      <c r="D280">
        <v>180</v>
      </c>
      <c r="E280">
        <v>347</v>
      </c>
      <c r="F280">
        <v>0</v>
      </c>
      <c r="G280" t="s">
        <v>20</v>
      </c>
      <c r="H280">
        <v>126</v>
      </c>
      <c r="I280" t="s">
        <v>22</v>
      </c>
      <c r="J280">
        <v>0.8</v>
      </c>
      <c r="K280" t="s">
        <v>19</v>
      </c>
      <c r="L280">
        <v>0</v>
      </c>
    </row>
    <row r="281" spans="1:12" x14ac:dyDescent="0.3">
      <c r="A281">
        <v>54</v>
      </c>
      <c r="B281" t="s">
        <v>17</v>
      </c>
      <c r="C281" t="s">
        <v>13</v>
      </c>
      <c r="D281">
        <v>130</v>
      </c>
      <c r="E281">
        <v>253</v>
      </c>
      <c r="F281">
        <v>0</v>
      </c>
      <c r="G281" t="s">
        <v>20</v>
      </c>
      <c r="H281">
        <v>155</v>
      </c>
      <c r="I281" t="s">
        <v>15</v>
      </c>
      <c r="J281">
        <v>0</v>
      </c>
      <c r="K281" t="s">
        <v>16</v>
      </c>
      <c r="L281">
        <v>0</v>
      </c>
    </row>
    <row r="282" spans="1:12" x14ac:dyDescent="0.3">
      <c r="A282">
        <v>60</v>
      </c>
      <c r="B282" t="s">
        <v>12</v>
      </c>
      <c r="C282" t="s">
        <v>18</v>
      </c>
      <c r="D282">
        <v>120</v>
      </c>
      <c r="E282">
        <v>246</v>
      </c>
      <c r="F282">
        <v>0</v>
      </c>
      <c r="G282" t="s">
        <v>24</v>
      </c>
      <c r="H282">
        <v>135</v>
      </c>
      <c r="I282" t="s">
        <v>15</v>
      </c>
      <c r="J282">
        <v>0</v>
      </c>
      <c r="K282" t="s">
        <v>16</v>
      </c>
      <c r="L282">
        <v>0</v>
      </c>
    </row>
    <row r="283" spans="1:12" x14ac:dyDescent="0.3">
      <c r="A283">
        <v>49</v>
      </c>
      <c r="B283" t="s">
        <v>12</v>
      </c>
      <c r="C283" t="s">
        <v>21</v>
      </c>
      <c r="D283">
        <v>150</v>
      </c>
      <c r="E283">
        <v>222</v>
      </c>
      <c r="F283">
        <v>0</v>
      </c>
      <c r="G283" t="s">
        <v>14</v>
      </c>
      <c r="H283">
        <v>122</v>
      </c>
      <c r="I283" t="s">
        <v>15</v>
      </c>
      <c r="J283">
        <v>2</v>
      </c>
      <c r="K283" t="s">
        <v>19</v>
      </c>
      <c r="L283">
        <v>1</v>
      </c>
    </row>
    <row r="284" spans="1:12" x14ac:dyDescent="0.3">
      <c r="A284">
        <v>51</v>
      </c>
      <c r="B284" t="s">
        <v>17</v>
      </c>
      <c r="C284" t="s">
        <v>18</v>
      </c>
      <c r="D284">
        <v>130</v>
      </c>
      <c r="E284">
        <v>220</v>
      </c>
      <c r="F284">
        <v>0</v>
      </c>
      <c r="G284" t="s">
        <v>14</v>
      </c>
      <c r="H284">
        <v>160</v>
      </c>
      <c r="I284" t="s">
        <v>22</v>
      </c>
      <c r="J284">
        <v>2</v>
      </c>
      <c r="K284" t="s">
        <v>16</v>
      </c>
      <c r="L284">
        <v>0</v>
      </c>
    </row>
    <row r="285" spans="1:12" x14ac:dyDescent="0.3">
      <c r="A285">
        <v>55</v>
      </c>
      <c r="B285" t="s">
        <v>17</v>
      </c>
      <c r="C285" t="s">
        <v>13</v>
      </c>
      <c r="D285">
        <v>110</v>
      </c>
      <c r="E285">
        <v>344</v>
      </c>
      <c r="F285">
        <v>0</v>
      </c>
      <c r="G285" t="s">
        <v>20</v>
      </c>
      <c r="H285">
        <v>160</v>
      </c>
      <c r="I285" t="s">
        <v>15</v>
      </c>
      <c r="J285">
        <v>0</v>
      </c>
      <c r="K285" t="s">
        <v>16</v>
      </c>
      <c r="L285">
        <v>0</v>
      </c>
    </row>
    <row r="286" spans="1:12" x14ac:dyDescent="0.3">
      <c r="A286">
        <v>42</v>
      </c>
      <c r="B286" t="s">
        <v>12</v>
      </c>
      <c r="C286" t="s">
        <v>21</v>
      </c>
      <c r="D286">
        <v>140</v>
      </c>
      <c r="E286">
        <v>358</v>
      </c>
      <c r="F286">
        <v>0</v>
      </c>
      <c r="G286" t="s">
        <v>14</v>
      </c>
      <c r="H286">
        <v>170</v>
      </c>
      <c r="I286" t="s">
        <v>15</v>
      </c>
      <c r="J286">
        <v>0</v>
      </c>
      <c r="K286" t="s">
        <v>16</v>
      </c>
      <c r="L286">
        <v>0</v>
      </c>
    </row>
    <row r="287" spans="1:12" x14ac:dyDescent="0.3">
      <c r="A287">
        <v>51</v>
      </c>
      <c r="B287" t="s">
        <v>17</v>
      </c>
      <c r="C287" t="s">
        <v>18</v>
      </c>
      <c r="D287">
        <v>110</v>
      </c>
      <c r="E287">
        <v>190</v>
      </c>
      <c r="F287">
        <v>0</v>
      </c>
      <c r="G287" t="s">
        <v>14</v>
      </c>
      <c r="H287">
        <v>120</v>
      </c>
      <c r="I287" t="s">
        <v>15</v>
      </c>
      <c r="J287">
        <v>0</v>
      </c>
      <c r="K287" t="s">
        <v>16</v>
      </c>
      <c r="L287">
        <v>0</v>
      </c>
    </row>
    <row r="288" spans="1:12" x14ac:dyDescent="0.3">
      <c r="A288">
        <v>59</v>
      </c>
      <c r="B288" t="s">
        <v>12</v>
      </c>
      <c r="C288" t="s">
        <v>21</v>
      </c>
      <c r="D288">
        <v>140</v>
      </c>
      <c r="E288">
        <v>169</v>
      </c>
      <c r="F288">
        <v>0</v>
      </c>
      <c r="G288" t="s">
        <v>14</v>
      </c>
      <c r="H288">
        <v>140</v>
      </c>
      <c r="I288" t="s">
        <v>15</v>
      </c>
      <c r="J288">
        <v>0</v>
      </c>
      <c r="K288" t="s">
        <v>16</v>
      </c>
      <c r="L288">
        <v>0</v>
      </c>
    </row>
    <row r="289" spans="1:12" x14ac:dyDescent="0.3">
      <c r="A289">
        <v>53</v>
      </c>
      <c r="B289" t="s">
        <v>12</v>
      </c>
      <c r="C289" t="s">
        <v>13</v>
      </c>
      <c r="D289">
        <v>120</v>
      </c>
      <c r="E289">
        <v>181</v>
      </c>
      <c r="F289">
        <v>0</v>
      </c>
      <c r="G289" t="s">
        <v>14</v>
      </c>
      <c r="H289">
        <v>132</v>
      </c>
      <c r="I289" t="s">
        <v>15</v>
      </c>
      <c r="J289">
        <v>0</v>
      </c>
      <c r="K289" t="s">
        <v>16</v>
      </c>
      <c r="L289">
        <v>0</v>
      </c>
    </row>
    <row r="290" spans="1:12" x14ac:dyDescent="0.3">
      <c r="A290">
        <v>48</v>
      </c>
      <c r="B290" t="s">
        <v>17</v>
      </c>
      <c r="C290" t="s">
        <v>13</v>
      </c>
      <c r="D290">
        <v>133</v>
      </c>
      <c r="E290">
        <v>308</v>
      </c>
      <c r="F290">
        <v>0</v>
      </c>
      <c r="G290" t="s">
        <v>20</v>
      </c>
      <c r="H290">
        <v>156</v>
      </c>
      <c r="I290" t="s">
        <v>15</v>
      </c>
      <c r="J290">
        <v>2</v>
      </c>
      <c r="K290" t="s">
        <v>16</v>
      </c>
      <c r="L290">
        <v>0</v>
      </c>
    </row>
    <row r="291" spans="1:12" x14ac:dyDescent="0.3">
      <c r="A291">
        <v>36</v>
      </c>
      <c r="B291" t="s">
        <v>12</v>
      </c>
      <c r="C291" t="s">
        <v>13</v>
      </c>
      <c r="D291">
        <v>120</v>
      </c>
      <c r="E291">
        <v>166</v>
      </c>
      <c r="F291">
        <v>0</v>
      </c>
      <c r="G291" t="s">
        <v>14</v>
      </c>
      <c r="H291">
        <v>180</v>
      </c>
      <c r="I291" t="s">
        <v>15</v>
      </c>
      <c r="J291">
        <v>0</v>
      </c>
      <c r="K291" t="s">
        <v>16</v>
      </c>
      <c r="L291">
        <v>0</v>
      </c>
    </row>
    <row r="292" spans="1:12" x14ac:dyDescent="0.3">
      <c r="A292">
        <v>48</v>
      </c>
      <c r="B292" t="s">
        <v>12</v>
      </c>
      <c r="C292" t="s">
        <v>18</v>
      </c>
      <c r="D292">
        <v>110</v>
      </c>
      <c r="E292">
        <v>211</v>
      </c>
      <c r="F292">
        <v>0</v>
      </c>
      <c r="G292" t="s">
        <v>14</v>
      </c>
      <c r="H292">
        <v>138</v>
      </c>
      <c r="I292" t="s">
        <v>15</v>
      </c>
      <c r="J292">
        <v>0</v>
      </c>
      <c r="K292" t="s">
        <v>16</v>
      </c>
      <c r="L292">
        <v>0</v>
      </c>
    </row>
    <row r="293" spans="1:12" x14ac:dyDescent="0.3">
      <c r="A293">
        <v>47</v>
      </c>
      <c r="B293" t="s">
        <v>17</v>
      </c>
      <c r="C293" t="s">
        <v>13</v>
      </c>
      <c r="D293">
        <v>140</v>
      </c>
      <c r="E293">
        <v>257</v>
      </c>
      <c r="F293">
        <v>0</v>
      </c>
      <c r="G293" t="s">
        <v>14</v>
      </c>
      <c r="H293">
        <v>135</v>
      </c>
      <c r="I293" t="s">
        <v>15</v>
      </c>
      <c r="J293">
        <v>1</v>
      </c>
      <c r="K293" t="s">
        <v>16</v>
      </c>
      <c r="L293">
        <v>0</v>
      </c>
    </row>
    <row r="294" spans="1:12" x14ac:dyDescent="0.3">
      <c r="A294">
        <v>53</v>
      </c>
      <c r="B294" t="s">
        <v>12</v>
      </c>
      <c r="C294" t="s">
        <v>21</v>
      </c>
      <c r="D294">
        <v>130</v>
      </c>
      <c r="E294">
        <v>182</v>
      </c>
      <c r="F294">
        <v>0</v>
      </c>
      <c r="G294" t="s">
        <v>14</v>
      </c>
      <c r="H294">
        <v>148</v>
      </c>
      <c r="I294" t="s">
        <v>15</v>
      </c>
      <c r="J294">
        <v>0</v>
      </c>
      <c r="K294" t="s">
        <v>16</v>
      </c>
      <c r="L294">
        <v>0</v>
      </c>
    </row>
    <row r="295" spans="1:12" x14ac:dyDescent="0.3">
      <c r="A295">
        <v>65</v>
      </c>
      <c r="B295" t="s">
        <v>12</v>
      </c>
      <c r="C295" t="s">
        <v>21</v>
      </c>
      <c r="D295">
        <v>115</v>
      </c>
      <c r="E295">
        <v>0</v>
      </c>
      <c r="F295">
        <v>0</v>
      </c>
      <c r="G295" t="s">
        <v>14</v>
      </c>
      <c r="H295">
        <v>93</v>
      </c>
      <c r="I295" t="s">
        <v>22</v>
      </c>
      <c r="J295">
        <v>0</v>
      </c>
      <c r="K295" t="s">
        <v>19</v>
      </c>
      <c r="L295">
        <v>1</v>
      </c>
    </row>
    <row r="296" spans="1:12" x14ac:dyDescent="0.3">
      <c r="A296">
        <v>32</v>
      </c>
      <c r="B296" t="s">
        <v>12</v>
      </c>
      <c r="C296" t="s">
        <v>23</v>
      </c>
      <c r="D296">
        <v>95</v>
      </c>
      <c r="E296">
        <v>0</v>
      </c>
      <c r="F296">
        <v>1</v>
      </c>
      <c r="G296" t="s">
        <v>14</v>
      </c>
      <c r="H296">
        <v>127</v>
      </c>
      <c r="I296" t="s">
        <v>15</v>
      </c>
      <c r="J296">
        <v>0.7</v>
      </c>
      <c r="K296" t="s">
        <v>16</v>
      </c>
      <c r="L296">
        <v>1</v>
      </c>
    </row>
    <row r="297" spans="1:12" x14ac:dyDescent="0.3">
      <c r="A297">
        <v>61</v>
      </c>
      <c r="B297" t="s">
        <v>12</v>
      </c>
      <c r="C297" t="s">
        <v>21</v>
      </c>
      <c r="D297">
        <v>105</v>
      </c>
      <c r="E297">
        <v>0</v>
      </c>
      <c r="F297">
        <v>1</v>
      </c>
      <c r="G297" t="s">
        <v>14</v>
      </c>
      <c r="H297">
        <v>110</v>
      </c>
      <c r="I297" t="s">
        <v>22</v>
      </c>
      <c r="J297">
        <v>1.5</v>
      </c>
      <c r="K297" t="s">
        <v>16</v>
      </c>
      <c r="L297">
        <v>1</v>
      </c>
    </row>
    <row r="298" spans="1:12" x14ac:dyDescent="0.3">
      <c r="A298">
        <v>50</v>
      </c>
      <c r="B298" t="s">
        <v>12</v>
      </c>
      <c r="C298" t="s">
        <v>21</v>
      </c>
      <c r="D298">
        <v>145</v>
      </c>
      <c r="E298">
        <v>0</v>
      </c>
      <c r="F298">
        <v>1</v>
      </c>
      <c r="G298" t="s">
        <v>14</v>
      </c>
      <c r="H298">
        <v>139</v>
      </c>
      <c r="I298" t="s">
        <v>22</v>
      </c>
      <c r="J298">
        <v>0.7</v>
      </c>
      <c r="K298" t="s">
        <v>19</v>
      </c>
      <c r="L298">
        <v>1</v>
      </c>
    </row>
    <row r="299" spans="1:12" x14ac:dyDescent="0.3">
      <c r="A299">
        <v>57</v>
      </c>
      <c r="B299" t="s">
        <v>12</v>
      </c>
      <c r="C299" t="s">
        <v>21</v>
      </c>
      <c r="D299">
        <v>110</v>
      </c>
      <c r="E299">
        <v>0</v>
      </c>
      <c r="F299">
        <v>1</v>
      </c>
      <c r="G299" t="s">
        <v>20</v>
      </c>
      <c r="H299">
        <v>131</v>
      </c>
      <c r="I299" t="s">
        <v>22</v>
      </c>
      <c r="J299">
        <v>1.4</v>
      </c>
      <c r="K299" t="s">
        <v>16</v>
      </c>
      <c r="L299">
        <v>1</v>
      </c>
    </row>
    <row r="300" spans="1:12" x14ac:dyDescent="0.3">
      <c r="A300">
        <v>51</v>
      </c>
      <c r="B300" t="s">
        <v>12</v>
      </c>
      <c r="C300" t="s">
        <v>21</v>
      </c>
      <c r="D300">
        <v>110</v>
      </c>
      <c r="E300">
        <v>0</v>
      </c>
      <c r="F300">
        <v>1</v>
      </c>
      <c r="G300" t="s">
        <v>14</v>
      </c>
      <c r="H300">
        <v>92</v>
      </c>
      <c r="I300" t="s">
        <v>15</v>
      </c>
      <c r="J300">
        <v>0</v>
      </c>
      <c r="K300" t="s">
        <v>19</v>
      </c>
      <c r="L300">
        <v>1</v>
      </c>
    </row>
    <row r="301" spans="1:12" x14ac:dyDescent="0.3">
      <c r="A301">
        <v>47</v>
      </c>
      <c r="B301" t="s">
        <v>12</v>
      </c>
      <c r="C301" t="s">
        <v>21</v>
      </c>
      <c r="D301">
        <v>110</v>
      </c>
      <c r="E301">
        <v>0</v>
      </c>
      <c r="F301">
        <v>1</v>
      </c>
      <c r="G301" t="s">
        <v>20</v>
      </c>
      <c r="H301">
        <v>149</v>
      </c>
      <c r="I301" t="s">
        <v>15</v>
      </c>
      <c r="J301">
        <v>2.1</v>
      </c>
      <c r="K301" t="s">
        <v>16</v>
      </c>
      <c r="L301">
        <v>1</v>
      </c>
    </row>
    <row r="302" spans="1:12" x14ac:dyDescent="0.3">
      <c r="A302">
        <v>60</v>
      </c>
      <c r="B302" t="s">
        <v>12</v>
      </c>
      <c r="C302" t="s">
        <v>21</v>
      </c>
      <c r="D302">
        <v>160</v>
      </c>
      <c r="E302">
        <v>0</v>
      </c>
      <c r="F302">
        <v>1</v>
      </c>
      <c r="G302" t="s">
        <v>14</v>
      </c>
      <c r="H302">
        <v>149</v>
      </c>
      <c r="I302" t="s">
        <v>15</v>
      </c>
      <c r="J302">
        <v>0.4</v>
      </c>
      <c r="K302" t="s">
        <v>19</v>
      </c>
      <c r="L302">
        <v>1</v>
      </c>
    </row>
    <row r="303" spans="1:12" x14ac:dyDescent="0.3">
      <c r="A303">
        <v>55</v>
      </c>
      <c r="B303" t="s">
        <v>12</v>
      </c>
      <c r="C303" t="s">
        <v>13</v>
      </c>
      <c r="D303">
        <v>140</v>
      </c>
      <c r="E303">
        <v>0</v>
      </c>
      <c r="F303">
        <v>0</v>
      </c>
      <c r="G303" t="s">
        <v>20</v>
      </c>
      <c r="H303">
        <v>150</v>
      </c>
      <c r="I303" t="s">
        <v>15</v>
      </c>
      <c r="J303">
        <v>0.2</v>
      </c>
      <c r="K303" t="s">
        <v>16</v>
      </c>
      <c r="L303">
        <v>0</v>
      </c>
    </row>
    <row r="304" spans="1:12" x14ac:dyDescent="0.3">
      <c r="A304">
        <v>53</v>
      </c>
      <c r="B304" t="s">
        <v>12</v>
      </c>
      <c r="C304" t="s">
        <v>21</v>
      </c>
      <c r="D304">
        <v>125</v>
      </c>
      <c r="E304">
        <v>0</v>
      </c>
      <c r="F304">
        <v>1</v>
      </c>
      <c r="G304" t="s">
        <v>14</v>
      </c>
      <c r="H304">
        <v>120</v>
      </c>
      <c r="I304" t="s">
        <v>15</v>
      </c>
      <c r="J304">
        <v>1.5</v>
      </c>
      <c r="K304" t="s">
        <v>16</v>
      </c>
      <c r="L304">
        <v>1</v>
      </c>
    </row>
    <row r="305" spans="1:12" x14ac:dyDescent="0.3">
      <c r="A305">
        <v>62</v>
      </c>
      <c r="B305" t="s">
        <v>17</v>
      </c>
      <c r="C305" t="s">
        <v>21</v>
      </c>
      <c r="D305">
        <v>120</v>
      </c>
      <c r="E305">
        <v>0</v>
      </c>
      <c r="F305">
        <v>1</v>
      </c>
      <c r="G305" t="s">
        <v>20</v>
      </c>
      <c r="H305">
        <v>123</v>
      </c>
      <c r="I305" t="s">
        <v>22</v>
      </c>
      <c r="J305">
        <v>1.7</v>
      </c>
      <c r="K305" t="s">
        <v>25</v>
      </c>
      <c r="L305">
        <v>1</v>
      </c>
    </row>
    <row r="306" spans="1:12" x14ac:dyDescent="0.3">
      <c r="A306">
        <v>51</v>
      </c>
      <c r="B306" t="s">
        <v>12</v>
      </c>
      <c r="C306" t="s">
        <v>21</v>
      </c>
      <c r="D306">
        <v>95</v>
      </c>
      <c r="E306">
        <v>0</v>
      </c>
      <c r="F306">
        <v>1</v>
      </c>
      <c r="G306" t="s">
        <v>14</v>
      </c>
      <c r="H306">
        <v>126</v>
      </c>
      <c r="I306" t="s">
        <v>15</v>
      </c>
      <c r="J306">
        <v>2.2000000000000002</v>
      </c>
      <c r="K306" t="s">
        <v>19</v>
      </c>
      <c r="L306">
        <v>1</v>
      </c>
    </row>
    <row r="307" spans="1:12" x14ac:dyDescent="0.3">
      <c r="A307">
        <v>51</v>
      </c>
      <c r="B307" t="s">
        <v>17</v>
      </c>
      <c r="C307" t="s">
        <v>21</v>
      </c>
      <c r="D307">
        <v>120</v>
      </c>
      <c r="E307">
        <v>0</v>
      </c>
      <c r="F307">
        <v>1</v>
      </c>
      <c r="G307" t="s">
        <v>14</v>
      </c>
      <c r="H307">
        <v>127</v>
      </c>
      <c r="I307" t="s">
        <v>22</v>
      </c>
      <c r="J307">
        <v>1.5</v>
      </c>
      <c r="K307" t="s">
        <v>16</v>
      </c>
      <c r="L307">
        <v>1</v>
      </c>
    </row>
    <row r="308" spans="1:12" x14ac:dyDescent="0.3">
      <c r="A308">
        <v>55</v>
      </c>
      <c r="B308" t="s">
        <v>12</v>
      </c>
      <c r="C308" t="s">
        <v>21</v>
      </c>
      <c r="D308">
        <v>115</v>
      </c>
      <c r="E308">
        <v>0</v>
      </c>
      <c r="F308">
        <v>1</v>
      </c>
      <c r="G308" t="s">
        <v>14</v>
      </c>
      <c r="H308">
        <v>155</v>
      </c>
      <c r="I308" t="s">
        <v>15</v>
      </c>
      <c r="J308">
        <v>0.1</v>
      </c>
      <c r="K308" t="s">
        <v>19</v>
      </c>
      <c r="L308">
        <v>1</v>
      </c>
    </row>
    <row r="309" spans="1:12" x14ac:dyDescent="0.3">
      <c r="A309">
        <v>53</v>
      </c>
      <c r="B309" t="s">
        <v>12</v>
      </c>
      <c r="C309" t="s">
        <v>13</v>
      </c>
      <c r="D309">
        <v>130</v>
      </c>
      <c r="E309">
        <v>0</v>
      </c>
      <c r="F309">
        <v>0</v>
      </c>
      <c r="G309" t="s">
        <v>20</v>
      </c>
      <c r="H309">
        <v>120</v>
      </c>
      <c r="I309" t="s">
        <v>15</v>
      </c>
      <c r="J309">
        <v>0.7</v>
      </c>
      <c r="K309" t="s">
        <v>25</v>
      </c>
      <c r="L309">
        <v>0</v>
      </c>
    </row>
    <row r="310" spans="1:12" x14ac:dyDescent="0.3">
      <c r="A310">
        <v>58</v>
      </c>
      <c r="B310" t="s">
        <v>12</v>
      </c>
      <c r="C310" t="s">
        <v>21</v>
      </c>
      <c r="D310">
        <v>115</v>
      </c>
      <c r="E310">
        <v>0</v>
      </c>
      <c r="F310">
        <v>1</v>
      </c>
      <c r="G310" t="s">
        <v>14</v>
      </c>
      <c r="H310">
        <v>138</v>
      </c>
      <c r="I310" t="s">
        <v>15</v>
      </c>
      <c r="J310">
        <v>0.5</v>
      </c>
      <c r="K310" t="s">
        <v>16</v>
      </c>
      <c r="L310">
        <v>1</v>
      </c>
    </row>
    <row r="311" spans="1:12" x14ac:dyDescent="0.3">
      <c r="A311">
        <v>57</v>
      </c>
      <c r="B311" t="s">
        <v>12</v>
      </c>
      <c r="C311" t="s">
        <v>21</v>
      </c>
      <c r="D311">
        <v>95</v>
      </c>
      <c r="E311">
        <v>0</v>
      </c>
      <c r="F311">
        <v>1</v>
      </c>
      <c r="G311" t="s">
        <v>14</v>
      </c>
      <c r="H311">
        <v>182</v>
      </c>
      <c r="I311" t="s">
        <v>15</v>
      </c>
      <c r="J311">
        <v>0.7</v>
      </c>
      <c r="K311" t="s">
        <v>25</v>
      </c>
      <c r="L311">
        <v>1</v>
      </c>
    </row>
    <row r="312" spans="1:12" x14ac:dyDescent="0.3">
      <c r="A312">
        <v>65</v>
      </c>
      <c r="B312" t="s">
        <v>12</v>
      </c>
      <c r="C312" t="s">
        <v>21</v>
      </c>
      <c r="D312">
        <v>155</v>
      </c>
      <c r="E312">
        <v>0</v>
      </c>
      <c r="F312">
        <v>0</v>
      </c>
      <c r="G312" t="s">
        <v>14</v>
      </c>
      <c r="H312">
        <v>154</v>
      </c>
      <c r="I312" t="s">
        <v>15</v>
      </c>
      <c r="J312">
        <v>1</v>
      </c>
      <c r="K312" t="s">
        <v>16</v>
      </c>
      <c r="L312">
        <v>0</v>
      </c>
    </row>
    <row r="313" spans="1:12" x14ac:dyDescent="0.3">
      <c r="A313">
        <v>60</v>
      </c>
      <c r="B313" t="s">
        <v>12</v>
      </c>
      <c r="C313" t="s">
        <v>21</v>
      </c>
      <c r="D313">
        <v>125</v>
      </c>
      <c r="E313">
        <v>0</v>
      </c>
      <c r="F313">
        <v>1</v>
      </c>
      <c r="G313" t="s">
        <v>14</v>
      </c>
      <c r="H313">
        <v>110</v>
      </c>
      <c r="I313" t="s">
        <v>15</v>
      </c>
      <c r="J313">
        <v>0.1</v>
      </c>
      <c r="K313" t="s">
        <v>16</v>
      </c>
      <c r="L313">
        <v>1</v>
      </c>
    </row>
    <row r="314" spans="1:12" x14ac:dyDescent="0.3">
      <c r="A314">
        <v>41</v>
      </c>
      <c r="B314" t="s">
        <v>12</v>
      </c>
      <c r="C314" t="s">
        <v>21</v>
      </c>
      <c r="D314">
        <v>125</v>
      </c>
      <c r="E314">
        <v>0</v>
      </c>
      <c r="F314">
        <v>1</v>
      </c>
      <c r="G314" t="s">
        <v>14</v>
      </c>
      <c r="H314">
        <v>176</v>
      </c>
      <c r="I314" t="s">
        <v>15</v>
      </c>
      <c r="J314">
        <v>1.6</v>
      </c>
      <c r="K314" t="s">
        <v>16</v>
      </c>
      <c r="L314">
        <v>1</v>
      </c>
    </row>
    <row r="315" spans="1:12" x14ac:dyDescent="0.3">
      <c r="A315">
        <v>34</v>
      </c>
      <c r="B315" t="s">
        <v>12</v>
      </c>
      <c r="C315" t="s">
        <v>21</v>
      </c>
      <c r="D315">
        <v>115</v>
      </c>
      <c r="E315">
        <v>0</v>
      </c>
      <c r="F315">
        <v>1</v>
      </c>
      <c r="G315" t="s">
        <v>14</v>
      </c>
      <c r="H315">
        <v>154</v>
      </c>
      <c r="I315" t="s">
        <v>15</v>
      </c>
      <c r="J315">
        <v>0.2</v>
      </c>
      <c r="K315" t="s">
        <v>16</v>
      </c>
      <c r="L315">
        <v>1</v>
      </c>
    </row>
    <row r="316" spans="1:12" x14ac:dyDescent="0.3">
      <c r="A316">
        <v>53</v>
      </c>
      <c r="B316" t="s">
        <v>12</v>
      </c>
      <c r="C316" t="s">
        <v>21</v>
      </c>
      <c r="D316">
        <v>80</v>
      </c>
      <c r="E316">
        <v>0</v>
      </c>
      <c r="F316">
        <v>0</v>
      </c>
      <c r="G316" t="s">
        <v>14</v>
      </c>
      <c r="H316">
        <v>141</v>
      </c>
      <c r="I316" t="s">
        <v>22</v>
      </c>
      <c r="J316">
        <v>2</v>
      </c>
      <c r="K316" t="s">
        <v>25</v>
      </c>
      <c r="L316">
        <v>0</v>
      </c>
    </row>
    <row r="317" spans="1:12" x14ac:dyDescent="0.3">
      <c r="A317">
        <v>74</v>
      </c>
      <c r="B317" t="s">
        <v>12</v>
      </c>
      <c r="C317" t="s">
        <v>13</v>
      </c>
      <c r="D317">
        <v>145</v>
      </c>
      <c r="E317">
        <v>0</v>
      </c>
      <c r="F317">
        <v>1</v>
      </c>
      <c r="G317" t="s">
        <v>20</v>
      </c>
      <c r="H317">
        <v>123</v>
      </c>
      <c r="I317" t="s">
        <v>15</v>
      </c>
      <c r="J317">
        <v>1.3</v>
      </c>
      <c r="K317" t="s">
        <v>16</v>
      </c>
      <c r="L317">
        <v>1</v>
      </c>
    </row>
    <row r="318" spans="1:12" x14ac:dyDescent="0.3">
      <c r="A318">
        <v>57</v>
      </c>
      <c r="B318" t="s">
        <v>12</v>
      </c>
      <c r="C318" t="s">
        <v>18</v>
      </c>
      <c r="D318">
        <v>105</v>
      </c>
      <c r="E318">
        <v>0</v>
      </c>
      <c r="F318">
        <v>1</v>
      </c>
      <c r="G318" t="s">
        <v>14</v>
      </c>
      <c r="H318">
        <v>148</v>
      </c>
      <c r="I318" t="s">
        <v>15</v>
      </c>
      <c r="J318">
        <v>0.3</v>
      </c>
      <c r="K318" t="s">
        <v>19</v>
      </c>
      <c r="L318">
        <v>1</v>
      </c>
    </row>
    <row r="319" spans="1:12" x14ac:dyDescent="0.3">
      <c r="A319">
        <v>56</v>
      </c>
      <c r="B319" t="s">
        <v>12</v>
      </c>
      <c r="C319" t="s">
        <v>21</v>
      </c>
      <c r="D319">
        <v>140</v>
      </c>
      <c r="E319">
        <v>0</v>
      </c>
      <c r="F319">
        <v>1</v>
      </c>
      <c r="G319" t="s">
        <v>14</v>
      </c>
      <c r="H319">
        <v>121</v>
      </c>
      <c r="I319" t="s">
        <v>22</v>
      </c>
      <c r="J319">
        <v>1.8</v>
      </c>
      <c r="K319" t="s">
        <v>16</v>
      </c>
      <c r="L319">
        <v>1</v>
      </c>
    </row>
    <row r="320" spans="1:12" x14ac:dyDescent="0.3">
      <c r="A320">
        <v>61</v>
      </c>
      <c r="B320" t="s">
        <v>12</v>
      </c>
      <c r="C320" t="s">
        <v>21</v>
      </c>
      <c r="D320">
        <v>130</v>
      </c>
      <c r="E320">
        <v>0</v>
      </c>
      <c r="F320">
        <v>1</v>
      </c>
      <c r="G320" t="s">
        <v>14</v>
      </c>
      <c r="H320">
        <v>77</v>
      </c>
      <c r="I320" t="s">
        <v>15</v>
      </c>
      <c r="J320">
        <v>2.5</v>
      </c>
      <c r="K320" t="s">
        <v>19</v>
      </c>
      <c r="L320">
        <v>1</v>
      </c>
    </row>
    <row r="321" spans="1:12" x14ac:dyDescent="0.3">
      <c r="A321">
        <v>68</v>
      </c>
      <c r="B321" t="s">
        <v>12</v>
      </c>
      <c r="C321" t="s">
        <v>21</v>
      </c>
      <c r="D321">
        <v>145</v>
      </c>
      <c r="E321">
        <v>0</v>
      </c>
      <c r="F321">
        <v>1</v>
      </c>
      <c r="G321" t="s">
        <v>14</v>
      </c>
      <c r="H321">
        <v>136</v>
      </c>
      <c r="I321" t="s">
        <v>15</v>
      </c>
      <c r="J321">
        <v>1.8</v>
      </c>
      <c r="K321" t="s">
        <v>16</v>
      </c>
      <c r="L321">
        <v>1</v>
      </c>
    </row>
    <row r="322" spans="1:12" x14ac:dyDescent="0.3">
      <c r="A322">
        <v>59</v>
      </c>
      <c r="B322" t="s">
        <v>12</v>
      </c>
      <c r="C322" t="s">
        <v>18</v>
      </c>
      <c r="D322">
        <v>125</v>
      </c>
      <c r="E322">
        <v>0</v>
      </c>
      <c r="F322">
        <v>1</v>
      </c>
      <c r="G322" t="s">
        <v>14</v>
      </c>
      <c r="H322">
        <v>175</v>
      </c>
      <c r="I322" t="s">
        <v>15</v>
      </c>
      <c r="J322">
        <v>2.6</v>
      </c>
      <c r="K322" t="s">
        <v>19</v>
      </c>
      <c r="L322">
        <v>1</v>
      </c>
    </row>
    <row r="323" spans="1:12" x14ac:dyDescent="0.3">
      <c r="A323">
        <v>63</v>
      </c>
      <c r="B323" t="s">
        <v>12</v>
      </c>
      <c r="C323" t="s">
        <v>21</v>
      </c>
      <c r="D323">
        <v>100</v>
      </c>
      <c r="E323">
        <v>0</v>
      </c>
      <c r="F323">
        <v>1</v>
      </c>
      <c r="G323" t="s">
        <v>14</v>
      </c>
      <c r="H323">
        <v>109</v>
      </c>
      <c r="I323" t="s">
        <v>15</v>
      </c>
      <c r="J323">
        <v>-0.9</v>
      </c>
      <c r="K323" t="s">
        <v>19</v>
      </c>
      <c r="L323">
        <v>1</v>
      </c>
    </row>
    <row r="324" spans="1:12" x14ac:dyDescent="0.3">
      <c r="A324">
        <v>38</v>
      </c>
      <c r="B324" t="s">
        <v>17</v>
      </c>
      <c r="C324" t="s">
        <v>21</v>
      </c>
      <c r="D324">
        <v>105</v>
      </c>
      <c r="E324">
        <v>0</v>
      </c>
      <c r="F324">
        <v>1</v>
      </c>
      <c r="G324" t="s">
        <v>14</v>
      </c>
      <c r="H324">
        <v>166</v>
      </c>
      <c r="I324" t="s">
        <v>15</v>
      </c>
      <c r="J324">
        <v>2.8</v>
      </c>
      <c r="K324" t="s">
        <v>16</v>
      </c>
      <c r="L324">
        <v>1</v>
      </c>
    </row>
    <row r="325" spans="1:12" x14ac:dyDescent="0.3">
      <c r="A325">
        <v>62</v>
      </c>
      <c r="B325" t="s">
        <v>12</v>
      </c>
      <c r="C325" t="s">
        <v>21</v>
      </c>
      <c r="D325">
        <v>115</v>
      </c>
      <c r="E325">
        <v>0</v>
      </c>
      <c r="F325">
        <v>1</v>
      </c>
      <c r="G325" t="s">
        <v>14</v>
      </c>
      <c r="H325">
        <v>128</v>
      </c>
      <c r="I325" t="s">
        <v>22</v>
      </c>
      <c r="J325">
        <v>2.5</v>
      </c>
      <c r="K325" t="s">
        <v>25</v>
      </c>
      <c r="L325">
        <v>1</v>
      </c>
    </row>
    <row r="326" spans="1:12" x14ac:dyDescent="0.3">
      <c r="A326">
        <v>46</v>
      </c>
      <c r="B326" t="s">
        <v>12</v>
      </c>
      <c r="C326" t="s">
        <v>21</v>
      </c>
      <c r="D326">
        <v>100</v>
      </c>
      <c r="E326">
        <v>0</v>
      </c>
      <c r="F326">
        <v>1</v>
      </c>
      <c r="G326" t="s">
        <v>20</v>
      </c>
      <c r="H326">
        <v>133</v>
      </c>
      <c r="I326" t="s">
        <v>15</v>
      </c>
      <c r="J326">
        <v>-2.6</v>
      </c>
      <c r="K326" t="s">
        <v>19</v>
      </c>
      <c r="L326">
        <v>1</v>
      </c>
    </row>
    <row r="327" spans="1:12" x14ac:dyDescent="0.3">
      <c r="A327">
        <v>42</v>
      </c>
      <c r="B327" t="s">
        <v>12</v>
      </c>
      <c r="C327" t="s">
        <v>21</v>
      </c>
      <c r="D327">
        <v>105</v>
      </c>
      <c r="E327">
        <v>0</v>
      </c>
      <c r="F327">
        <v>1</v>
      </c>
      <c r="G327" t="s">
        <v>14</v>
      </c>
      <c r="H327">
        <v>128</v>
      </c>
      <c r="I327" t="s">
        <v>22</v>
      </c>
      <c r="J327">
        <v>-1.5</v>
      </c>
      <c r="K327" t="s">
        <v>25</v>
      </c>
      <c r="L327">
        <v>1</v>
      </c>
    </row>
    <row r="328" spans="1:12" x14ac:dyDescent="0.3">
      <c r="A328">
        <v>45</v>
      </c>
      <c r="B328" t="s">
        <v>12</v>
      </c>
      <c r="C328" t="s">
        <v>18</v>
      </c>
      <c r="D328">
        <v>110</v>
      </c>
      <c r="E328">
        <v>0</v>
      </c>
      <c r="F328">
        <v>0</v>
      </c>
      <c r="G328" t="s">
        <v>14</v>
      </c>
      <c r="H328">
        <v>138</v>
      </c>
      <c r="I328" t="s">
        <v>15</v>
      </c>
      <c r="J328">
        <v>-0.1</v>
      </c>
      <c r="K328" t="s">
        <v>16</v>
      </c>
      <c r="L328">
        <v>0</v>
      </c>
    </row>
    <row r="329" spans="1:12" x14ac:dyDescent="0.3">
      <c r="A329">
        <v>59</v>
      </c>
      <c r="B329" t="s">
        <v>12</v>
      </c>
      <c r="C329" t="s">
        <v>21</v>
      </c>
      <c r="D329">
        <v>125</v>
      </c>
      <c r="E329">
        <v>0</v>
      </c>
      <c r="F329">
        <v>1</v>
      </c>
      <c r="G329" t="s">
        <v>14</v>
      </c>
      <c r="H329">
        <v>119</v>
      </c>
      <c r="I329" t="s">
        <v>22</v>
      </c>
      <c r="J329">
        <v>0.9</v>
      </c>
      <c r="K329" t="s">
        <v>16</v>
      </c>
      <c r="L329">
        <v>1</v>
      </c>
    </row>
    <row r="330" spans="1:12" x14ac:dyDescent="0.3">
      <c r="A330">
        <v>52</v>
      </c>
      <c r="B330" t="s">
        <v>12</v>
      </c>
      <c r="C330" t="s">
        <v>21</v>
      </c>
      <c r="D330">
        <v>95</v>
      </c>
      <c r="E330">
        <v>0</v>
      </c>
      <c r="F330">
        <v>1</v>
      </c>
      <c r="G330" t="s">
        <v>14</v>
      </c>
      <c r="H330">
        <v>82</v>
      </c>
      <c r="I330" t="s">
        <v>22</v>
      </c>
      <c r="J330">
        <v>0.8</v>
      </c>
      <c r="K330" t="s">
        <v>19</v>
      </c>
      <c r="L330">
        <v>1</v>
      </c>
    </row>
    <row r="331" spans="1:12" x14ac:dyDescent="0.3">
      <c r="A331">
        <v>60</v>
      </c>
      <c r="B331" t="s">
        <v>12</v>
      </c>
      <c r="C331" t="s">
        <v>21</v>
      </c>
      <c r="D331">
        <v>130</v>
      </c>
      <c r="E331">
        <v>0</v>
      </c>
      <c r="F331">
        <v>1</v>
      </c>
      <c r="G331" t="s">
        <v>20</v>
      </c>
      <c r="H331">
        <v>130</v>
      </c>
      <c r="I331" t="s">
        <v>22</v>
      </c>
      <c r="J331">
        <v>1.1000000000000001</v>
      </c>
      <c r="K331" t="s">
        <v>25</v>
      </c>
      <c r="L331">
        <v>1</v>
      </c>
    </row>
    <row r="332" spans="1:12" x14ac:dyDescent="0.3">
      <c r="A332">
        <v>60</v>
      </c>
      <c r="B332" t="s">
        <v>12</v>
      </c>
      <c r="C332" t="s">
        <v>18</v>
      </c>
      <c r="D332">
        <v>115</v>
      </c>
      <c r="E332">
        <v>0</v>
      </c>
      <c r="F332">
        <v>1</v>
      </c>
      <c r="G332" t="s">
        <v>14</v>
      </c>
      <c r="H332">
        <v>143</v>
      </c>
      <c r="I332" t="s">
        <v>15</v>
      </c>
      <c r="J332">
        <v>2.4</v>
      </c>
      <c r="K332" t="s">
        <v>16</v>
      </c>
      <c r="L332">
        <v>1</v>
      </c>
    </row>
    <row r="333" spans="1:12" x14ac:dyDescent="0.3">
      <c r="A333">
        <v>56</v>
      </c>
      <c r="B333" t="s">
        <v>12</v>
      </c>
      <c r="C333" t="s">
        <v>21</v>
      </c>
      <c r="D333">
        <v>115</v>
      </c>
      <c r="E333">
        <v>0</v>
      </c>
      <c r="F333">
        <v>1</v>
      </c>
      <c r="G333" t="s">
        <v>20</v>
      </c>
      <c r="H333">
        <v>82</v>
      </c>
      <c r="I333" t="s">
        <v>15</v>
      </c>
      <c r="J333">
        <v>-1</v>
      </c>
      <c r="K333" t="s">
        <v>16</v>
      </c>
      <c r="L333">
        <v>1</v>
      </c>
    </row>
    <row r="334" spans="1:12" x14ac:dyDescent="0.3">
      <c r="A334">
        <v>38</v>
      </c>
      <c r="B334" t="s">
        <v>12</v>
      </c>
      <c r="C334" t="s">
        <v>18</v>
      </c>
      <c r="D334">
        <v>100</v>
      </c>
      <c r="E334">
        <v>0</v>
      </c>
      <c r="F334">
        <v>0</v>
      </c>
      <c r="G334" t="s">
        <v>14</v>
      </c>
      <c r="H334">
        <v>179</v>
      </c>
      <c r="I334" t="s">
        <v>15</v>
      </c>
      <c r="J334">
        <v>-1.1000000000000001</v>
      </c>
      <c r="K334" t="s">
        <v>16</v>
      </c>
      <c r="L334">
        <v>0</v>
      </c>
    </row>
    <row r="335" spans="1:12" x14ac:dyDescent="0.3">
      <c r="A335">
        <v>40</v>
      </c>
      <c r="B335" t="s">
        <v>12</v>
      </c>
      <c r="C335" t="s">
        <v>21</v>
      </c>
      <c r="D335">
        <v>95</v>
      </c>
      <c r="E335">
        <v>0</v>
      </c>
      <c r="F335">
        <v>1</v>
      </c>
      <c r="G335" t="s">
        <v>20</v>
      </c>
      <c r="H335">
        <v>144</v>
      </c>
      <c r="I335" t="s">
        <v>15</v>
      </c>
      <c r="J335">
        <v>0</v>
      </c>
      <c r="K335" t="s">
        <v>16</v>
      </c>
      <c r="L335">
        <v>1</v>
      </c>
    </row>
    <row r="336" spans="1:12" x14ac:dyDescent="0.3">
      <c r="A336">
        <v>51</v>
      </c>
      <c r="B336" t="s">
        <v>12</v>
      </c>
      <c r="C336" t="s">
        <v>21</v>
      </c>
      <c r="D336">
        <v>130</v>
      </c>
      <c r="E336">
        <v>0</v>
      </c>
      <c r="F336">
        <v>1</v>
      </c>
      <c r="G336" t="s">
        <v>14</v>
      </c>
      <c r="H336">
        <v>170</v>
      </c>
      <c r="I336" t="s">
        <v>15</v>
      </c>
      <c r="J336">
        <v>-0.7</v>
      </c>
      <c r="K336" t="s">
        <v>16</v>
      </c>
      <c r="L336">
        <v>1</v>
      </c>
    </row>
    <row r="337" spans="1:12" x14ac:dyDescent="0.3">
      <c r="A337">
        <v>62</v>
      </c>
      <c r="B337" t="s">
        <v>12</v>
      </c>
      <c r="C337" t="s">
        <v>23</v>
      </c>
      <c r="D337">
        <v>120</v>
      </c>
      <c r="E337">
        <v>0</v>
      </c>
      <c r="F337">
        <v>1</v>
      </c>
      <c r="G337" t="s">
        <v>24</v>
      </c>
      <c r="H337">
        <v>134</v>
      </c>
      <c r="I337" t="s">
        <v>15</v>
      </c>
      <c r="J337">
        <v>-0.8</v>
      </c>
      <c r="K337" t="s">
        <v>19</v>
      </c>
      <c r="L337">
        <v>1</v>
      </c>
    </row>
    <row r="338" spans="1:12" x14ac:dyDescent="0.3">
      <c r="A338">
        <v>72</v>
      </c>
      <c r="B338" t="s">
        <v>12</v>
      </c>
      <c r="C338" t="s">
        <v>18</v>
      </c>
      <c r="D338">
        <v>160</v>
      </c>
      <c r="E338">
        <v>0</v>
      </c>
      <c r="F338">
        <v>0</v>
      </c>
      <c r="G338" t="s">
        <v>24</v>
      </c>
      <c r="H338">
        <v>114</v>
      </c>
      <c r="I338" t="s">
        <v>15</v>
      </c>
      <c r="J338">
        <v>1.6</v>
      </c>
      <c r="K338" t="s">
        <v>19</v>
      </c>
      <c r="L338">
        <v>0</v>
      </c>
    </row>
    <row r="339" spans="1:12" x14ac:dyDescent="0.3">
      <c r="A339">
        <v>63</v>
      </c>
      <c r="B339" t="s">
        <v>12</v>
      </c>
      <c r="C339" t="s">
        <v>21</v>
      </c>
      <c r="D339">
        <v>150</v>
      </c>
      <c r="E339">
        <v>0</v>
      </c>
      <c r="F339">
        <v>1</v>
      </c>
      <c r="G339" t="s">
        <v>20</v>
      </c>
      <c r="H339">
        <v>154</v>
      </c>
      <c r="I339" t="s">
        <v>15</v>
      </c>
      <c r="J339">
        <v>3.7</v>
      </c>
      <c r="K339" t="s">
        <v>16</v>
      </c>
      <c r="L339">
        <v>1</v>
      </c>
    </row>
    <row r="340" spans="1:12" x14ac:dyDescent="0.3">
      <c r="A340">
        <v>63</v>
      </c>
      <c r="B340" t="s">
        <v>12</v>
      </c>
      <c r="C340" t="s">
        <v>21</v>
      </c>
      <c r="D340">
        <v>140</v>
      </c>
      <c r="E340">
        <v>0</v>
      </c>
      <c r="F340">
        <v>1</v>
      </c>
      <c r="G340" t="s">
        <v>24</v>
      </c>
      <c r="H340">
        <v>149</v>
      </c>
      <c r="I340" t="s">
        <v>15</v>
      </c>
      <c r="J340">
        <v>2</v>
      </c>
      <c r="K340" t="s">
        <v>16</v>
      </c>
      <c r="L340">
        <v>1</v>
      </c>
    </row>
    <row r="341" spans="1:12" x14ac:dyDescent="0.3">
      <c r="A341">
        <v>64</v>
      </c>
      <c r="B341" t="s">
        <v>17</v>
      </c>
      <c r="C341" t="s">
        <v>21</v>
      </c>
      <c r="D341">
        <v>95</v>
      </c>
      <c r="E341">
        <v>0</v>
      </c>
      <c r="F341">
        <v>1</v>
      </c>
      <c r="G341" t="s">
        <v>14</v>
      </c>
      <c r="H341">
        <v>145</v>
      </c>
      <c r="I341" t="s">
        <v>15</v>
      </c>
      <c r="J341">
        <v>1.1000000000000001</v>
      </c>
      <c r="K341" t="s">
        <v>25</v>
      </c>
      <c r="L341">
        <v>1</v>
      </c>
    </row>
    <row r="342" spans="1:12" x14ac:dyDescent="0.3">
      <c r="A342">
        <v>43</v>
      </c>
      <c r="B342" t="s">
        <v>12</v>
      </c>
      <c r="C342" t="s">
        <v>21</v>
      </c>
      <c r="D342">
        <v>100</v>
      </c>
      <c r="E342">
        <v>0</v>
      </c>
      <c r="F342">
        <v>1</v>
      </c>
      <c r="G342" t="s">
        <v>14</v>
      </c>
      <c r="H342">
        <v>122</v>
      </c>
      <c r="I342" t="s">
        <v>15</v>
      </c>
      <c r="J342">
        <v>1.5</v>
      </c>
      <c r="K342" t="s">
        <v>25</v>
      </c>
      <c r="L342">
        <v>1</v>
      </c>
    </row>
    <row r="343" spans="1:12" x14ac:dyDescent="0.3">
      <c r="A343">
        <v>64</v>
      </c>
      <c r="B343" t="s">
        <v>12</v>
      </c>
      <c r="C343" t="s">
        <v>21</v>
      </c>
      <c r="D343">
        <v>110</v>
      </c>
      <c r="E343">
        <v>0</v>
      </c>
      <c r="F343">
        <v>1</v>
      </c>
      <c r="G343" t="s">
        <v>14</v>
      </c>
      <c r="H343">
        <v>114</v>
      </c>
      <c r="I343" t="s">
        <v>22</v>
      </c>
      <c r="J343">
        <v>1.3</v>
      </c>
      <c r="K343" t="s">
        <v>25</v>
      </c>
      <c r="L343">
        <v>1</v>
      </c>
    </row>
    <row r="344" spans="1:12" x14ac:dyDescent="0.3">
      <c r="A344">
        <v>61</v>
      </c>
      <c r="B344" t="s">
        <v>12</v>
      </c>
      <c r="C344" t="s">
        <v>21</v>
      </c>
      <c r="D344">
        <v>110</v>
      </c>
      <c r="E344">
        <v>0</v>
      </c>
      <c r="F344">
        <v>1</v>
      </c>
      <c r="G344" t="s">
        <v>14</v>
      </c>
      <c r="H344">
        <v>113</v>
      </c>
      <c r="I344" t="s">
        <v>15</v>
      </c>
      <c r="J344">
        <v>1.4</v>
      </c>
      <c r="K344" t="s">
        <v>19</v>
      </c>
      <c r="L344">
        <v>1</v>
      </c>
    </row>
    <row r="345" spans="1:12" x14ac:dyDescent="0.3">
      <c r="A345">
        <v>52</v>
      </c>
      <c r="B345" t="s">
        <v>12</v>
      </c>
      <c r="C345" t="s">
        <v>21</v>
      </c>
      <c r="D345">
        <v>130</v>
      </c>
      <c r="E345">
        <v>0</v>
      </c>
      <c r="F345">
        <v>1</v>
      </c>
      <c r="G345" t="s">
        <v>14</v>
      </c>
      <c r="H345">
        <v>120</v>
      </c>
      <c r="I345" t="s">
        <v>15</v>
      </c>
      <c r="J345">
        <v>0</v>
      </c>
      <c r="K345" t="s">
        <v>19</v>
      </c>
      <c r="L345">
        <v>1</v>
      </c>
    </row>
    <row r="346" spans="1:12" x14ac:dyDescent="0.3">
      <c r="A346">
        <v>51</v>
      </c>
      <c r="B346" t="s">
        <v>12</v>
      </c>
      <c r="C346" t="s">
        <v>21</v>
      </c>
      <c r="D346">
        <v>120</v>
      </c>
      <c r="E346">
        <v>0</v>
      </c>
      <c r="F346">
        <v>1</v>
      </c>
      <c r="G346" t="s">
        <v>14</v>
      </c>
      <c r="H346">
        <v>104</v>
      </c>
      <c r="I346" t="s">
        <v>15</v>
      </c>
      <c r="J346">
        <v>0</v>
      </c>
      <c r="K346" t="s">
        <v>19</v>
      </c>
      <c r="L346">
        <v>1</v>
      </c>
    </row>
    <row r="347" spans="1:12" x14ac:dyDescent="0.3">
      <c r="A347">
        <v>69</v>
      </c>
      <c r="B347" t="s">
        <v>12</v>
      </c>
      <c r="C347" t="s">
        <v>21</v>
      </c>
      <c r="D347">
        <v>135</v>
      </c>
      <c r="E347">
        <v>0</v>
      </c>
      <c r="F347">
        <v>0</v>
      </c>
      <c r="G347" t="s">
        <v>14</v>
      </c>
      <c r="H347">
        <v>130</v>
      </c>
      <c r="I347" t="s">
        <v>15</v>
      </c>
      <c r="J347">
        <v>0</v>
      </c>
      <c r="K347" t="s">
        <v>19</v>
      </c>
      <c r="L347">
        <v>1</v>
      </c>
    </row>
    <row r="348" spans="1:12" x14ac:dyDescent="0.3">
      <c r="A348">
        <v>59</v>
      </c>
      <c r="B348" t="s">
        <v>12</v>
      </c>
      <c r="C348" t="s">
        <v>21</v>
      </c>
      <c r="D348">
        <v>120</v>
      </c>
      <c r="E348">
        <v>0</v>
      </c>
      <c r="F348">
        <v>0</v>
      </c>
      <c r="G348" t="s">
        <v>14</v>
      </c>
      <c r="H348">
        <v>115</v>
      </c>
      <c r="I348" t="s">
        <v>15</v>
      </c>
      <c r="J348">
        <v>0</v>
      </c>
      <c r="K348" t="s">
        <v>19</v>
      </c>
      <c r="L348">
        <v>1</v>
      </c>
    </row>
    <row r="349" spans="1:12" x14ac:dyDescent="0.3">
      <c r="A349">
        <v>48</v>
      </c>
      <c r="B349" t="s">
        <v>12</v>
      </c>
      <c r="C349" t="s">
        <v>21</v>
      </c>
      <c r="D349">
        <v>115</v>
      </c>
      <c r="E349">
        <v>0</v>
      </c>
      <c r="F349">
        <v>1</v>
      </c>
      <c r="G349" t="s">
        <v>14</v>
      </c>
      <c r="H349">
        <v>128</v>
      </c>
      <c r="I349" t="s">
        <v>15</v>
      </c>
      <c r="J349">
        <v>0</v>
      </c>
      <c r="K349" t="s">
        <v>19</v>
      </c>
      <c r="L349">
        <v>1</v>
      </c>
    </row>
    <row r="350" spans="1:12" x14ac:dyDescent="0.3">
      <c r="A350">
        <v>69</v>
      </c>
      <c r="B350" t="s">
        <v>12</v>
      </c>
      <c r="C350" t="s">
        <v>21</v>
      </c>
      <c r="D350">
        <v>137</v>
      </c>
      <c r="E350">
        <v>0</v>
      </c>
      <c r="F350">
        <v>0</v>
      </c>
      <c r="G350" t="s">
        <v>20</v>
      </c>
      <c r="H350">
        <v>104</v>
      </c>
      <c r="I350" t="s">
        <v>22</v>
      </c>
      <c r="J350">
        <v>1.6</v>
      </c>
      <c r="K350" t="s">
        <v>19</v>
      </c>
      <c r="L350">
        <v>1</v>
      </c>
    </row>
    <row r="351" spans="1:12" x14ac:dyDescent="0.3">
      <c r="A351">
        <v>36</v>
      </c>
      <c r="B351" t="s">
        <v>12</v>
      </c>
      <c r="C351" t="s">
        <v>21</v>
      </c>
      <c r="D351">
        <v>110</v>
      </c>
      <c r="E351">
        <v>0</v>
      </c>
      <c r="F351">
        <v>1</v>
      </c>
      <c r="G351" t="s">
        <v>14</v>
      </c>
      <c r="H351">
        <v>125</v>
      </c>
      <c r="I351" t="s">
        <v>22</v>
      </c>
      <c r="J351">
        <v>1</v>
      </c>
      <c r="K351" t="s">
        <v>19</v>
      </c>
      <c r="L351">
        <v>1</v>
      </c>
    </row>
    <row r="352" spans="1:12" x14ac:dyDescent="0.3">
      <c r="A352">
        <v>53</v>
      </c>
      <c r="B352" t="s">
        <v>12</v>
      </c>
      <c r="C352" t="s">
        <v>21</v>
      </c>
      <c r="D352">
        <v>120</v>
      </c>
      <c r="E352">
        <v>0</v>
      </c>
      <c r="F352">
        <v>1</v>
      </c>
      <c r="G352" t="s">
        <v>14</v>
      </c>
      <c r="H352">
        <v>120</v>
      </c>
      <c r="I352" t="s">
        <v>15</v>
      </c>
      <c r="J352">
        <v>0</v>
      </c>
      <c r="K352" t="s">
        <v>19</v>
      </c>
      <c r="L352">
        <v>1</v>
      </c>
    </row>
    <row r="353" spans="1:12" x14ac:dyDescent="0.3">
      <c r="A353">
        <v>43</v>
      </c>
      <c r="B353" t="s">
        <v>12</v>
      </c>
      <c r="C353" t="s">
        <v>21</v>
      </c>
      <c r="D353">
        <v>140</v>
      </c>
      <c r="E353">
        <v>0</v>
      </c>
      <c r="F353">
        <v>0</v>
      </c>
      <c r="G353" t="s">
        <v>20</v>
      </c>
      <c r="H353">
        <v>140</v>
      </c>
      <c r="I353" t="s">
        <v>22</v>
      </c>
      <c r="J353">
        <v>0.5</v>
      </c>
      <c r="K353" t="s">
        <v>16</v>
      </c>
      <c r="L353">
        <v>1</v>
      </c>
    </row>
    <row r="354" spans="1:12" x14ac:dyDescent="0.3">
      <c r="A354">
        <v>56</v>
      </c>
      <c r="B354" t="s">
        <v>12</v>
      </c>
      <c r="C354" t="s">
        <v>21</v>
      </c>
      <c r="D354">
        <v>120</v>
      </c>
      <c r="E354">
        <v>0</v>
      </c>
      <c r="F354">
        <v>0</v>
      </c>
      <c r="G354" t="s">
        <v>20</v>
      </c>
      <c r="H354">
        <v>100</v>
      </c>
      <c r="I354" t="s">
        <v>22</v>
      </c>
      <c r="J354">
        <v>-1</v>
      </c>
      <c r="K354" t="s">
        <v>25</v>
      </c>
      <c r="L354">
        <v>1</v>
      </c>
    </row>
    <row r="355" spans="1:12" x14ac:dyDescent="0.3">
      <c r="A355">
        <v>58</v>
      </c>
      <c r="B355" t="s">
        <v>12</v>
      </c>
      <c r="C355" t="s">
        <v>21</v>
      </c>
      <c r="D355">
        <v>130</v>
      </c>
      <c r="E355">
        <v>0</v>
      </c>
      <c r="F355">
        <v>0</v>
      </c>
      <c r="G355" t="s">
        <v>20</v>
      </c>
      <c r="H355">
        <v>100</v>
      </c>
      <c r="I355" t="s">
        <v>22</v>
      </c>
      <c r="J355">
        <v>1</v>
      </c>
      <c r="K355" t="s">
        <v>19</v>
      </c>
      <c r="L355">
        <v>1</v>
      </c>
    </row>
    <row r="356" spans="1:12" x14ac:dyDescent="0.3">
      <c r="A356">
        <v>55</v>
      </c>
      <c r="B356" t="s">
        <v>12</v>
      </c>
      <c r="C356" t="s">
        <v>21</v>
      </c>
      <c r="D356">
        <v>120</v>
      </c>
      <c r="E356">
        <v>0</v>
      </c>
      <c r="F356">
        <v>0</v>
      </c>
      <c r="G356" t="s">
        <v>20</v>
      </c>
      <c r="H356">
        <v>92</v>
      </c>
      <c r="I356" t="s">
        <v>15</v>
      </c>
      <c r="J356">
        <v>0.3</v>
      </c>
      <c r="K356" t="s">
        <v>16</v>
      </c>
      <c r="L356">
        <v>1</v>
      </c>
    </row>
    <row r="357" spans="1:12" x14ac:dyDescent="0.3">
      <c r="A357">
        <v>67</v>
      </c>
      <c r="B357" t="s">
        <v>12</v>
      </c>
      <c r="C357" t="s">
        <v>23</v>
      </c>
      <c r="D357">
        <v>145</v>
      </c>
      <c r="E357">
        <v>0</v>
      </c>
      <c r="F357">
        <v>0</v>
      </c>
      <c r="G357" t="s">
        <v>24</v>
      </c>
      <c r="H357">
        <v>125</v>
      </c>
      <c r="I357" t="s">
        <v>15</v>
      </c>
      <c r="J357">
        <v>0</v>
      </c>
      <c r="K357" t="s">
        <v>19</v>
      </c>
      <c r="L357">
        <v>1</v>
      </c>
    </row>
    <row r="358" spans="1:12" x14ac:dyDescent="0.3">
      <c r="A358">
        <v>46</v>
      </c>
      <c r="B358" t="s">
        <v>12</v>
      </c>
      <c r="C358" t="s">
        <v>21</v>
      </c>
      <c r="D358">
        <v>115</v>
      </c>
      <c r="E358">
        <v>0</v>
      </c>
      <c r="F358">
        <v>0</v>
      </c>
      <c r="G358" t="s">
        <v>14</v>
      </c>
      <c r="H358">
        <v>113</v>
      </c>
      <c r="I358" t="s">
        <v>22</v>
      </c>
      <c r="J358">
        <v>1.5</v>
      </c>
      <c r="K358" t="s">
        <v>19</v>
      </c>
      <c r="L358">
        <v>1</v>
      </c>
    </row>
    <row r="359" spans="1:12" x14ac:dyDescent="0.3">
      <c r="A359">
        <v>53</v>
      </c>
      <c r="B359" t="s">
        <v>12</v>
      </c>
      <c r="C359" t="s">
        <v>13</v>
      </c>
      <c r="D359">
        <v>120</v>
      </c>
      <c r="E359">
        <v>0</v>
      </c>
      <c r="F359">
        <v>0</v>
      </c>
      <c r="G359" t="s">
        <v>14</v>
      </c>
      <c r="H359">
        <v>95</v>
      </c>
      <c r="I359" t="s">
        <v>15</v>
      </c>
      <c r="J359">
        <v>0</v>
      </c>
      <c r="K359" t="s">
        <v>19</v>
      </c>
      <c r="L359">
        <v>1</v>
      </c>
    </row>
    <row r="360" spans="1:12" x14ac:dyDescent="0.3">
      <c r="A360">
        <v>38</v>
      </c>
      <c r="B360" t="s">
        <v>12</v>
      </c>
      <c r="C360" t="s">
        <v>18</v>
      </c>
      <c r="D360">
        <v>115</v>
      </c>
      <c r="E360">
        <v>0</v>
      </c>
      <c r="F360">
        <v>0</v>
      </c>
      <c r="G360" t="s">
        <v>14</v>
      </c>
      <c r="H360">
        <v>128</v>
      </c>
      <c r="I360" t="s">
        <v>22</v>
      </c>
      <c r="J360">
        <v>0</v>
      </c>
      <c r="K360" t="s">
        <v>19</v>
      </c>
      <c r="L360">
        <v>1</v>
      </c>
    </row>
    <row r="361" spans="1:12" x14ac:dyDescent="0.3">
      <c r="A361">
        <v>53</v>
      </c>
      <c r="B361" t="s">
        <v>12</v>
      </c>
      <c r="C361" t="s">
        <v>18</v>
      </c>
      <c r="D361">
        <v>105</v>
      </c>
      <c r="E361">
        <v>0</v>
      </c>
      <c r="F361">
        <v>0</v>
      </c>
      <c r="G361" t="s">
        <v>14</v>
      </c>
      <c r="H361">
        <v>115</v>
      </c>
      <c r="I361" t="s">
        <v>15</v>
      </c>
      <c r="J361">
        <v>0</v>
      </c>
      <c r="K361" t="s">
        <v>19</v>
      </c>
      <c r="L361">
        <v>1</v>
      </c>
    </row>
    <row r="362" spans="1:12" x14ac:dyDescent="0.3">
      <c r="A362">
        <v>62</v>
      </c>
      <c r="B362" t="s">
        <v>12</v>
      </c>
      <c r="C362" t="s">
        <v>18</v>
      </c>
      <c r="D362">
        <v>160</v>
      </c>
      <c r="E362">
        <v>0</v>
      </c>
      <c r="F362">
        <v>0</v>
      </c>
      <c r="G362" t="s">
        <v>14</v>
      </c>
      <c r="H362">
        <v>72</v>
      </c>
      <c r="I362" t="s">
        <v>22</v>
      </c>
      <c r="J362">
        <v>0</v>
      </c>
      <c r="K362" t="s">
        <v>19</v>
      </c>
      <c r="L362">
        <v>1</v>
      </c>
    </row>
    <row r="363" spans="1:12" x14ac:dyDescent="0.3">
      <c r="A363">
        <v>47</v>
      </c>
      <c r="B363" t="s">
        <v>12</v>
      </c>
      <c r="C363" t="s">
        <v>21</v>
      </c>
      <c r="D363">
        <v>160</v>
      </c>
      <c r="E363">
        <v>0</v>
      </c>
      <c r="F363">
        <v>0</v>
      </c>
      <c r="G363" t="s">
        <v>14</v>
      </c>
      <c r="H363">
        <v>124</v>
      </c>
      <c r="I363" t="s">
        <v>22</v>
      </c>
      <c r="J363">
        <v>0</v>
      </c>
      <c r="K363" t="s">
        <v>19</v>
      </c>
      <c r="L363">
        <v>1</v>
      </c>
    </row>
    <row r="364" spans="1:12" x14ac:dyDescent="0.3">
      <c r="A364">
        <v>56</v>
      </c>
      <c r="B364" t="s">
        <v>12</v>
      </c>
      <c r="C364" t="s">
        <v>18</v>
      </c>
      <c r="D364">
        <v>155</v>
      </c>
      <c r="E364">
        <v>0</v>
      </c>
      <c r="F364">
        <v>0</v>
      </c>
      <c r="G364" t="s">
        <v>20</v>
      </c>
      <c r="H364">
        <v>99</v>
      </c>
      <c r="I364" t="s">
        <v>15</v>
      </c>
      <c r="J364">
        <v>0</v>
      </c>
      <c r="K364" t="s">
        <v>19</v>
      </c>
      <c r="L364">
        <v>1</v>
      </c>
    </row>
    <row r="365" spans="1:12" x14ac:dyDescent="0.3">
      <c r="A365">
        <v>56</v>
      </c>
      <c r="B365" t="s">
        <v>12</v>
      </c>
      <c r="C365" t="s">
        <v>21</v>
      </c>
      <c r="D365">
        <v>120</v>
      </c>
      <c r="E365">
        <v>0</v>
      </c>
      <c r="F365">
        <v>0</v>
      </c>
      <c r="G365" t="s">
        <v>20</v>
      </c>
      <c r="H365">
        <v>148</v>
      </c>
      <c r="I365" t="s">
        <v>15</v>
      </c>
      <c r="J365">
        <v>0</v>
      </c>
      <c r="K365" t="s">
        <v>19</v>
      </c>
      <c r="L365">
        <v>1</v>
      </c>
    </row>
    <row r="366" spans="1:12" x14ac:dyDescent="0.3">
      <c r="A366">
        <v>56</v>
      </c>
      <c r="B366" t="s">
        <v>12</v>
      </c>
      <c r="C366" t="s">
        <v>18</v>
      </c>
      <c r="D366">
        <v>120</v>
      </c>
      <c r="E366">
        <v>0</v>
      </c>
      <c r="F366">
        <v>0</v>
      </c>
      <c r="G366" t="s">
        <v>14</v>
      </c>
      <c r="H366">
        <v>97</v>
      </c>
      <c r="I366" t="s">
        <v>15</v>
      </c>
      <c r="J366">
        <v>0</v>
      </c>
      <c r="K366" t="s">
        <v>19</v>
      </c>
      <c r="L366">
        <v>0</v>
      </c>
    </row>
    <row r="367" spans="1:12" x14ac:dyDescent="0.3">
      <c r="A367">
        <v>64</v>
      </c>
      <c r="B367" t="s">
        <v>17</v>
      </c>
      <c r="C367" t="s">
        <v>21</v>
      </c>
      <c r="D367">
        <v>200</v>
      </c>
      <c r="E367">
        <v>0</v>
      </c>
      <c r="F367">
        <v>0</v>
      </c>
      <c r="G367" t="s">
        <v>14</v>
      </c>
      <c r="H367">
        <v>140</v>
      </c>
      <c r="I367" t="s">
        <v>22</v>
      </c>
      <c r="J367">
        <v>1</v>
      </c>
      <c r="K367" t="s">
        <v>19</v>
      </c>
      <c r="L367">
        <v>1</v>
      </c>
    </row>
    <row r="368" spans="1:12" x14ac:dyDescent="0.3">
      <c r="A368">
        <v>61</v>
      </c>
      <c r="B368" t="s">
        <v>12</v>
      </c>
      <c r="C368" t="s">
        <v>21</v>
      </c>
      <c r="D368">
        <v>150</v>
      </c>
      <c r="E368">
        <v>0</v>
      </c>
      <c r="F368">
        <v>0</v>
      </c>
      <c r="G368" t="s">
        <v>14</v>
      </c>
      <c r="H368">
        <v>117</v>
      </c>
      <c r="I368" t="s">
        <v>22</v>
      </c>
      <c r="J368">
        <v>2</v>
      </c>
      <c r="K368" t="s">
        <v>19</v>
      </c>
      <c r="L368">
        <v>1</v>
      </c>
    </row>
    <row r="369" spans="1:12" x14ac:dyDescent="0.3">
      <c r="A369">
        <v>68</v>
      </c>
      <c r="B369" t="s">
        <v>12</v>
      </c>
      <c r="C369" t="s">
        <v>21</v>
      </c>
      <c r="D369">
        <v>135</v>
      </c>
      <c r="E369">
        <v>0</v>
      </c>
      <c r="F369">
        <v>0</v>
      </c>
      <c r="G369" t="s">
        <v>20</v>
      </c>
      <c r="H369">
        <v>120</v>
      </c>
      <c r="I369" t="s">
        <v>22</v>
      </c>
      <c r="J369">
        <v>0</v>
      </c>
      <c r="K369" t="s">
        <v>16</v>
      </c>
      <c r="L369">
        <v>1</v>
      </c>
    </row>
    <row r="370" spans="1:12" x14ac:dyDescent="0.3">
      <c r="A370">
        <v>57</v>
      </c>
      <c r="B370" t="s">
        <v>12</v>
      </c>
      <c r="C370" t="s">
        <v>21</v>
      </c>
      <c r="D370">
        <v>140</v>
      </c>
      <c r="E370">
        <v>0</v>
      </c>
      <c r="F370">
        <v>0</v>
      </c>
      <c r="G370" t="s">
        <v>14</v>
      </c>
      <c r="H370">
        <v>120</v>
      </c>
      <c r="I370" t="s">
        <v>22</v>
      </c>
      <c r="J370">
        <v>2</v>
      </c>
      <c r="K370" t="s">
        <v>19</v>
      </c>
      <c r="L370">
        <v>1</v>
      </c>
    </row>
    <row r="371" spans="1:12" x14ac:dyDescent="0.3">
      <c r="A371">
        <v>63</v>
      </c>
      <c r="B371" t="s">
        <v>12</v>
      </c>
      <c r="C371" t="s">
        <v>21</v>
      </c>
      <c r="D371">
        <v>150</v>
      </c>
      <c r="E371">
        <v>0</v>
      </c>
      <c r="F371">
        <v>0</v>
      </c>
      <c r="G371" t="s">
        <v>14</v>
      </c>
      <c r="H371">
        <v>86</v>
      </c>
      <c r="I371" t="s">
        <v>22</v>
      </c>
      <c r="J371">
        <v>2</v>
      </c>
      <c r="K371" t="s">
        <v>19</v>
      </c>
      <c r="L371">
        <v>1</v>
      </c>
    </row>
    <row r="372" spans="1:12" x14ac:dyDescent="0.3">
      <c r="A372">
        <v>60</v>
      </c>
      <c r="B372" t="s">
        <v>12</v>
      </c>
      <c r="C372" t="s">
        <v>21</v>
      </c>
      <c r="D372">
        <v>135</v>
      </c>
      <c r="E372">
        <v>0</v>
      </c>
      <c r="F372">
        <v>0</v>
      </c>
      <c r="G372" t="s">
        <v>14</v>
      </c>
      <c r="H372">
        <v>63</v>
      </c>
      <c r="I372" t="s">
        <v>22</v>
      </c>
      <c r="J372">
        <v>0.5</v>
      </c>
      <c r="K372" t="s">
        <v>16</v>
      </c>
      <c r="L372">
        <v>1</v>
      </c>
    </row>
    <row r="373" spans="1:12" x14ac:dyDescent="0.3">
      <c r="A373">
        <v>66</v>
      </c>
      <c r="B373" t="s">
        <v>12</v>
      </c>
      <c r="C373" t="s">
        <v>21</v>
      </c>
      <c r="D373">
        <v>150</v>
      </c>
      <c r="E373">
        <v>0</v>
      </c>
      <c r="F373">
        <v>0</v>
      </c>
      <c r="G373" t="s">
        <v>14</v>
      </c>
      <c r="H373">
        <v>108</v>
      </c>
      <c r="I373" t="s">
        <v>22</v>
      </c>
      <c r="J373">
        <v>2</v>
      </c>
      <c r="K373" t="s">
        <v>19</v>
      </c>
      <c r="L373">
        <v>1</v>
      </c>
    </row>
    <row r="374" spans="1:12" x14ac:dyDescent="0.3">
      <c r="A374">
        <v>63</v>
      </c>
      <c r="B374" t="s">
        <v>12</v>
      </c>
      <c r="C374" t="s">
        <v>21</v>
      </c>
      <c r="D374">
        <v>185</v>
      </c>
      <c r="E374">
        <v>0</v>
      </c>
      <c r="F374">
        <v>0</v>
      </c>
      <c r="G374" t="s">
        <v>14</v>
      </c>
      <c r="H374">
        <v>98</v>
      </c>
      <c r="I374" t="s">
        <v>22</v>
      </c>
      <c r="J374">
        <v>0</v>
      </c>
      <c r="K374" t="s">
        <v>16</v>
      </c>
      <c r="L374">
        <v>1</v>
      </c>
    </row>
    <row r="375" spans="1:12" x14ac:dyDescent="0.3">
      <c r="A375">
        <v>59</v>
      </c>
      <c r="B375" t="s">
        <v>12</v>
      </c>
      <c r="C375" t="s">
        <v>21</v>
      </c>
      <c r="D375">
        <v>135</v>
      </c>
      <c r="E375">
        <v>0</v>
      </c>
      <c r="F375">
        <v>0</v>
      </c>
      <c r="G375" t="s">
        <v>14</v>
      </c>
      <c r="H375">
        <v>115</v>
      </c>
      <c r="I375" t="s">
        <v>22</v>
      </c>
      <c r="J375">
        <v>1</v>
      </c>
      <c r="K375" t="s">
        <v>19</v>
      </c>
      <c r="L375">
        <v>1</v>
      </c>
    </row>
    <row r="376" spans="1:12" x14ac:dyDescent="0.3">
      <c r="A376">
        <v>61</v>
      </c>
      <c r="B376" t="s">
        <v>12</v>
      </c>
      <c r="C376" t="s">
        <v>21</v>
      </c>
      <c r="D376">
        <v>125</v>
      </c>
      <c r="E376">
        <v>0</v>
      </c>
      <c r="F376">
        <v>0</v>
      </c>
      <c r="G376" t="s">
        <v>14</v>
      </c>
      <c r="H376">
        <v>105</v>
      </c>
      <c r="I376" t="s">
        <v>22</v>
      </c>
      <c r="J376">
        <v>0</v>
      </c>
      <c r="K376" t="s">
        <v>25</v>
      </c>
      <c r="L376">
        <v>1</v>
      </c>
    </row>
    <row r="377" spans="1:12" x14ac:dyDescent="0.3">
      <c r="A377">
        <v>73</v>
      </c>
      <c r="B377" t="s">
        <v>17</v>
      </c>
      <c r="C377" t="s">
        <v>18</v>
      </c>
      <c r="D377">
        <v>160</v>
      </c>
      <c r="E377">
        <v>0</v>
      </c>
      <c r="F377">
        <v>0</v>
      </c>
      <c r="G377" t="s">
        <v>20</v>
      </c>
      <c r="H377">
        <v>121</v>
      </c>
      <c r="I377" t="s">
        <v>15</v>
      </c>
      <c r="J377">
        <v>0</v>
      </c>
      <c r="K377" t="s">
        <v>16</v>
      </c>
      <c r="L377">
        <v>1</v>
      </c>
    </row>
    <row r="378" spans="1:12" x14ac:dyDescent="0.3">
      <c r="A378">
        <v>47</v>
      </c>
      <c r="B378" t="s">
        <v>12</v>
      </c>
      <c r="C378" t="s">
        <v>18</v>
      </c>
      <c r="D378">
        <v>155</v>
      </c>
      <c r="E378">
        <v>0</v>
      </c>
      <c r="F378">
        <v>0</v>
      </c>
      <c r="G378" t="s">
        <v>14</v>
      </c>
      <c r="H378">
        <v>118</v>
      </c>
      <c r="I378" t="s">
        <v>22</v>
      </c>
      <c r="J378">
        <v>1</v>
      </c>
      <c r="K378" t="s">
        <v>19</v>
      </c>
      <c r="L378">
        <v>1</v>
      </c>
    </row>
    <row r="379" spans="1:12" x14ac:dyDescent="0.3">
      <c r="A379">
        <v>65</v>
      </c>
      <c r="B379" t="s">
        <v>12</v>
      </c>
      <c r="C379" t="s">
        <v>21</v>
      </c>
      <c r="D379">
        <v>160</v>
      </c>
      <c r="E379">
        <v>0</v>
      </c>
      <c r="F379">
        <v>1</v>
      </c>
      <c r="G379" t="s">
        <v>20</v>
      </c>
      <c r="H379">
        <v>122</v>
      </c>
      <c r="I379" t="s">
        <v>15</v>
      </c>
      <c r="J379">
        <v>1.2</v>
      </c>
      <c r="K379" t="s">
        <v>19</v>
      </c>
      <c r="L379">
        <v>1</v>
      </c>
    </row>
    <row r="380" spans="1:12" x14ac:dyDescent="0.3">
      <c r="A380">
        <v>70</v>
      </c>
      <c r="B380" t="s">
        <v>12</v>
      </c>
      <c r="C380" t="s">
        <v>21</v>
      </c>
      <c r="D380">
        <v>140</v>
      </c>
      <c r="E380">
        <v>0</v>
      </c>
      <c r="F380">
        <v>1</v>
      </c>
      <c r="G380" t="s">
        <v>14</v>
      </c>
      <c r="H380">
        <v>157</v>
      </c>
      <c r="I380" t="s">
        <v>22</v>
      </c>
      <c r="J380">
        <v>2</v>
      </c>
      <c r="K380" t="s">
        <v>19</v>
      </c>
      <c r="L380">
        <v>1</v>
      </c>
    </row>
    <row r="381" spans="1:12" x14ac:dyDescent="0.3">
      <c r="A381">
        <v>50</v>
      </c>
      <c r="B381" t="s">
        <v>12</v>
      </c>
      <c r="C381" t="s">
        <v>21</v>
      </c>
      <c r="D381">
        <v>120</v>
      </c>
      <c r="E381">
        <v>0</v>
      </c>
      <c r="F381">
        <v>0</v>
      </c>
      <c r="G381" t="s">
        <v>20</v>
      </c>
      <c r="H381">
        <v>156</v>
      </c>
      <c r="I381" t="s">
        <v>22</v>
      </c>
      <c r="J381">
        <v>0</v>
      </c>
      <c r="K381" t="s">
        <v>16</v>
      </c>
      <c r="L381">
        <v>1</v>
      </c>
    </row>
    <row r="382" spans="1:12" x14ac:dyDescent="0.3">
      <c r="A382">
        <v>60</v>
      </c>
      <c r="B382" t="s">
        <v>12</v>
      </c>
      <c r="C382" t="s">
        <v>21</v>
      </c>
      <c r="D382">
        <v>160</v>
      </c>
      <c r="E382">
        <v>0</v>
      </c>
      <c r="F382">
        <v>0</v>
      </c>
      <c r="G382" t="s">
        <v>20</v>
      </c>
      <c r="H382">
        <v>99</v>
      </c>
      <c r="I382" t="s">
        <v>22</v>
      </c>
      <c r="J382">
        <v>0.5</v>
      </c>
      <c r="K382" t="s">
        <v>19</v>
      </c>
      <c r="L382">
        <v>1</v>
      </c>
    </row>
    <row r="383" spans="1:12" x14ac:dyDescent="0.3">
      <c r="A383">
        <v>50</v>
      </c>
      <c r="B383" t="s">
        <v>12</v>
      </c>
      <c r="C383" t="s">
        <v>21</v>
      </c>
      <c r="D383">
        <v>115</v>
      </c>
      <c r="E383">
        <v>0</v>
      </c>
      <c r="F383">
        <v>0</v>
      </c>
      <c r="G383" t="s">
        <v>14</v>
      </c>
      <c r="H383">
        <v>120</v>
      </c>
      <c r="I383" t="s">
        <v>22</v>
      </c>
      <c r="J383">
        <v>0.5</v>
      </c>
      <c r="K383" t="s">
        <v>19</v>
      </c>
      <c r="L383">
        <v>1</v>
      </c>
    </row>
    <row r="384" spans="1:12" x14ac:dyDescent="0.3">
      <c r="A384">
        <v>43</v>
      </c>
      <c r="B384" t="s">
        <v>12</v>
      </c>
      <c r="C384" t="s">
        <v>21</v>
      </c>
      <c r="D384">
        <v>115</v>
      </c>
      <c r="E384">
        <v>0</v>
      </c>
      <c r="F384">
        <v>0</v>
      </c>
      <c r="G384" t="s">
        <v>14</v>
      </c>
      <c r="H384">
        <v>145</v>
      </c>
      <c r="I384" t="s">
        <v>22</v>
      </c>
      <c r="J384">
        <v>2</v>
      </c>
      <c r="K384" t="s">
        <v>19</v>
      </c>
      <c r="L384">
        <v>1</v>
      </c>
    </row>
    <row r="385" spans="1:12" x14ac:dyDescent="0.3">
      <c r="A385">
        <v>38</v>
      </c>
      <c r="B385" t="s">
        <v>17</v>
      </c>
      <c r="C385" t="s">
        <v>21</v>
      </c>
      <c r="D385">
        <v>110</v>
      </c>
      <c r="E385">
        <v>0</v>
      </c>
      <c r="F385">
        <v>0</v>
      </c>
      <c r="G385" t="s">
        <v>14</v>
      </c>
      <c r="H385">
        <v>156</v>
      </c>
      <c r="I385" t="s">
        <v>15</v>
      </c>
      <c r="J385">
        <v>0</v>
      </c>
      <c r="K385" t="s">
        <v>19</v>
      </c>
      <c r="L385">
        <v>1</v>
      </c>
    </row>
    <row r="386" spans="1:12" x14ac:dyDescent="0.3">
      <c r="A386">
        <v>54</v>
      </c>
      <c r="B386" t="s">
        <v>12</v>
      </c>
      <c r="C386" t="s">
        <v>21</v>
      </c>
      <c r="D386">
        <v>120</v>
      </c>
      <c r="E386">
        <v>0</v>
      </c>
      <c r="F386">
        <v>0</v>
      </c>
      <c r="G386" t="s">
        <v>14</v>
      </c>
      <c r="H386">
        <v>155</v>
      </c>
      <c r="I386" t="s">
        <v>15</v>
      </c>
      <c r="J386">
        <v>0</v>
      </c>
      <c r="K386" t="s">
        <v>19</v>
      </c>
      <c r="L386">
        <v>1</v>
      </c>
    </row>
    <row r="387" spans="1:12" x14ac:dyDescent="0.3">
      <c r="A387">
        <v>61</v>
      </c>
      <c r="B387" t="s">
        <v>12</v>
      </c>
      <c r="C387" t="s">
        <v>21</v>
      </c>
      <c r="D387">
        <v>150</v>
      </c>
      <c r="E387">
        <v>0</v>
      </c>
      <c r="F387">
        <v>0</v>
      </c>
      <c r="G387" t="s">
        <v>14</v>
      </c>
      <c r="H387">
        <v>105</v>
      </c>
      <c r="I387" t="s">
        <v>22</v>
      </c>
      <c r="J387">
        <v>0</v>
      </c>
      <c r="K387" t="s">
        <v>19</v>
      </c>
      <c r="L387">
        <v>1</v>
      </c>
    </row>
    <row r="388" spans="1:12" x14ac:dyDescent="0.3">
      <c r="A388">
        <v>42</v>
      </c>
      <c r="B388" t="s">
        <v>12</v>
      </c>
      <c r="C388" t="s">
        <v>21</v>
      </c>
      <c r="D388">
        <v>145</v>
      </c>
      <c r="E388">
        <v>0</v>
      </c>
      <c r="F388">
        <v>0</v>
      </c>
      <c r="G388" t="s">
        <v>14</v>
      </c>
      <c r="H388">
        <v>99</v>
      </c>
      <c r="I388" t="s">
        <v>22</v>
      </c>
      <c r="J388">
        <v>0</v>
      </c>
      <c r="K388" t="s">
        <v>19</v>
      </c>
      <c r="L388">
        <v>1</v>
      </c>
    </row>
    <row r="389" spans="1:12" x14ac:dyDescent="0.3">
      <c r="A389">
        <v>53</v>
      </c>
      <c r="B389" t="s">
        <v>12</v>
      </c>
      <c r="C389" t="s">
        <v>21</v>
      </c>
      <c r="D389">
        <v>130</v>
      </c>
      <c r="E389">
        <v>0</v>
      </c>
      <c r="F389">
        <v>0</v>
      </c>
      <c r="G389" t="s">
        <v>24</v>
      </c>
      <c r="H389">
        <v>135</v>
      </c>
      <c r="I389" t="s">
        <v>22</v>
      </c>
      <c r="J389">
        <v>1</v>
      </c>
      <c r="K389" t="s">
        <v>19</v>
      </c>
      <c r="L389">
        <v>1</v>
      </c>
    </row>
    <row r="390" spans="1:12" x14ac:dyDescent="0.3">
      <c r="A390">
        <v>55</v>
      </c>
      <c r="B390" t="s">
        <v>12</v>
      </c>
      <c r="C390" t="s">
        <v>21</v>
      </c>
      <c r="D390">
        <v>140</v>
      </c>
      <c r="E390">
        <v>0</v>
      </c>
      <c r="F390">
        <v>0</v>
      </c>
      <c r="G390" t="s">
        <v>14</v>
      </c>
      <c r="H390">
        <v>83</v>
      </c>
      <c r="I390" t="s">
        <v>15</v>
      </c>
      <c r="J390">
        <v>0</v>
      </c>
      <c r="K390" t="s">
        <v>19</v>
      </c>
      <c r="L390">
        <v>1</v>
      </c>
    </row>
    <row r="391" spans="1:12" x14ac:dyDescent="0.3">
      <c r="A391">
        <v>61</v>
      </c>
      <c r="B391" t="s">
        <v>12</v>
      </c>
      <c r="C391" t="s">
        <v>21</v>
      </c>
      <c r="D391">
        <v>160</v>
      </c>
      <c r="E391">
        <v>0</v>
      </c>
      <c r="F391">
        <v>1</v>
      </c>
      <c r="G391" t="s">
        <v>20</v>
      </c>
      <c r="H391">
        <v>145</v>
      </c>
      <c r="I391" t="s">
        <v>15</v>
      </c>
      <c r="J391">
        <v>1</v>
      </c>
      <c r="K391" t="s">
        <v>19</v>
      </c>
      <c r="L391">
        <v>1</v>
      </c>
    </row>
    <row r="392" spans="1:12" x14ac:dyDescent="0.3">
      <c r="A392">
        <v>51</v>
      </c>
      <c r="B392" t="s">
        <v>12</v>
      </c>
      <c r="C392" t="s">
        <v>21</v>
      </c>
      <c r="D392">
        <v>140</v>
      </c>
      <c r="E392">
        <v>0</v>
      </c>
      <c r="F392">
        <v>0</v>
      </c>
      <c r="G392" t="s">
        <v>14</v>
      </c>
      <c r="H392">
        <v>60</v>
      </c>
      <c r="I392" t="s">
        <v>15</v>
      </c>
      <c r="J392">
        <v>0</v>
      </c>
      <c r="K392" t="s">
        <v>19</v>
      </c>
      <c r="L392">
        <v>1</v>
      </c>
    </row>
    <row r="393" spans="1:12" x14ac:dyDescent="0.3">
      <c r="A393">
        <v>70</v>
      </c>
      <c r="B393" t="s">
        <v>12</v>
      </c>
      <c r="C393" t="s">
        <v>21</v>
      </c>
      <c r="D393">
        <v>115</v>
      </c>
      <c r="E393">
        <v>0</v>
      </c>
      <c r="F393">
        <v>0</v>
      </c>
      <c r="G393" t="s">
        <v>20</v>
      </c>
      <c r="H393">
        <v>92</v>
      </c>
      <c r="I393" t="s">
        <v>22</v>
      </c>
      <c r="J393">
        <v>0</v>
      </c>
      <c r="K393" t="s">
        <v>19</v>
      </c>
      <c r="L393">
        <v>1</v>
      </c>
    </row>
    <row r="394" spans="1:12" x14ac:dyDescent="0.3">
      <c r="A394">
        <v>61</v>
      </c>
      <c r="B394" t="s">
        <v>12</v>
      </c>
      <c r="C394" t="s">
        <v>21</v>
      </c>
      <c r="D394">
        <v>130</v>
      </c>
      <c r="E394">
        <v>0</v>
      </c>
      <c r="F394">
        <v>0</v>
      </c>
      <c r="G394" t="s">
        <v>24</v>
      </c>
      <c r="H394">
        <v>115</v>
      </c>
      <c r="I394" t="s">
        <v>15</v>
      </c>
      <c r="J394">
        <v>0</v>
      </c>
      <c r="K394" t="s">
        <v>19</v>
      </c>
      <c r="L394">
        <v>1</v>
      </c>
    </row>
    <row r="395" spans="1:12" x14ac:dyDescent="0.3">
      <c r="A395">
        <v>38</v>
      </c>
      <c r="B395" t="s">
        <v>12</v>
      </c>
      <c r="C395" t="s">
        <v>21</v>
      </c>
      <c r="D395">
        <v>150</v>
      </c>
      <c r="E395">
        <v>0</v>
      </c>
      <c r="F395">
        <v>1</v>
      </c>
      <c r="G395" t="s">
        <v>14</v>
      </c>
      <c r="H395">
        <v>120</v>
      </c>
      <c r="I395" t="s">
        <v>22</v>
      </c>
      <c r="J395">
        <v>0.7</v>
      </c>
      <c r="K395" t="s">
        <v>19</v>
      </c>
      <c r="L395">
        <v>1</v>
      </c>
    </row>
    <row r="396" spans="1:12" x14ac:dyDescent="0.3">
      <c r="A396">
        <v>57</v>
      </c>
      <c r="B396" t="s">
        <v>12</v>
      </c>
      <c r="C396" t="s">
        <v>21</v>
      </c>
      <c r="D396">
        <v>160</v>
      </c>
      <c r="E396">
        <v>0</v>
      </c>
      <c r="F396">
        <v>1</v>
      </c>
      <c r="G396" t="s">
        <v>14</v>
      </c>
      <c r="H396">
        <v>98</v>
      </c>
      <c r="I396" t="s">
        <v>22</v>
      </c>
      <c r="J396">
        <v>2</v>
      </c>
      <c r="K396" t="s">
        <v>19</v>
      </c>
      <c r="L396">
        <v>1</v>
      </c>
    </row>
    <row r="397" spans="1:12" x14ac:dyDescent="0.3">
      <c r="A397">
        <v>38</v>
      </c>
      <c r="B397" t="s">
        <v>12</v>
      </c>
      <c r="C397" t="s">
        <v>21</v>
      </c>
      <c r="D397">
        <v>135</v>
      </c>
      <c r="E397">
        <v>0</v>
      </c>
      <c r="F397">
        <v>1</v>
      </c>
      <c r="G397" t="s">
        <v>14</v>
      </c>
      <c r="H397">
        <v>150</v>
      </c>
      <c r="I397" t="s">
        <v>15</v>
      </c>
      <c r="J397">
        <v>0</v>
      </c>
      <c r="K397" t="s">
        <v>19</v>
      </c>
      <c r="L397">
        <v>1</v>
      </c>
    </row>
    <row r="398" spans="1:12" x14ac:dyDescent="0.3">
      <c r="A398">
        <v>62</v>
      </c>
      <c r="B398" t="s">
        <v>17</v>
      </c>
      <c r="C398" t="s">
        <v>23</v>
      </c>
      <c r="D398">
        <v>140</v>
      </c>
      <c r="E398">
        <v>0</v>
      </c>
      <c r="F398">
        <v>1</v>
      </c>
      <c r="G398" t="s">
        <v>14</v>
      </c>
      <c r="H398">
        <v>143</v>
      </c>
      <c r="I398" t="s">
        <v>15</v>
      </c>
      <c r="J398">
        <v>0</v>
      </c>
      <c r="K398" t="s">
        <v>19</v>
      </c>
      <c r="L398">
        <v>1</v>
      </c>
    </row>
    <row r="399" spans="1:12" x14ac:dyDescent="0.3">
      <c r="A399">
        <v>58</v>
      </c>
      <c r="B399" t="s">
        <v>12</v>
      </c>
      <c r="C399" t="s">
        <v>21</v>
      </c>
      <c r="D399">
        <v>170</v>
      </c>
      <c r="E399">
        <v>0</v>
      </c>
      <c r="F399">
        <v>1</v>
      </c>
      <c r="G399" t="s">
        <v>20</v>
      </c>
      <c r="H399">
        <v>105</v>
      </c>
      <c r="I399" t="s">
        <v>22</v>
      </c>
      <c r="J399">
        <v>0</v>
      </c>
      <c r="K399" t="s">
        <v>19</v>
      </c>
      <c r="L399">
        <v>1</v>
      </c>
    </row>
    <row r="400" spans="1:12" x14ac:dyDescent="0.3">
      <c r="A400">
        <v>52</v>
      </c>
      <c r="B400" t="s">
        <v>12</v>
      </c>
      <c r="C400" t="s">
        <v>21</v>
      </c>
      <c r="D400">
        <v>165</v>
      </c>
      <c r="E400">
        <v>0</v>
      </c>
      <c r="F400">
        <v>1</v>
      </c>
      <c r="G400" t="s">
        <v>14</v>
      </c>
      <c r="H400">
        <v>122</v>
      </c>
      <c r="I400" t="s">
        <v>22</v>
      </c>
      <c r="J400">
        <v>1</v>
      </c>
      <c r="K400" t="s">
        <v>16</v>
      </c>
      <c r="L400">
        <v>1</v>
      </c>
    </row>
    <row r="401" spans="1:12" x14ac:dyDescent="0.3">
      <c r="A401">
        <v>61</v>
      </c>
      <c r="B401" t="s">
        <v>12</v>
      </c>
      <c r="C401" t="s">
        <v>18</v>
      </c>
      <c r="D401">
        <v>200</v>
      </c>
      <c r="E401">
        <v>0</v>
      </c>
      <c r="F401">
        <v>1</v>
      </c>
      <c r="G401" t="s">
        <v>20</v>
      </c>
      <c r="H401">
        <v>70</v>
      </c>
      <c r="I401" t="s">
        <v>15</v>
      </c>
      <c r="J401">
        <v>0</v>
      </c>
      <c r="K401" t="s">
        <v>19</v>
      </c>
      <c r="L401">
        <v>1</v>
      </c>
    </row>
    <row r="402" spans="1:12" x14ac:dyDescent="0.3">
      <c r="A402">
        <v>50</v>
      </c>
      <c r="B402" t="s">
        <v>17</v>
      </c>
      <c r="C402" t="s">
        <v>21</v>
      </c>
      <c r="D402">
        <v>160</v>
      </c>
      <c r="E402">
        <v>0</v>
      </c>
      <c r="F402">
        <v>1</v>
      </c>
      <c r="G402" t="s">
        <v>14</v>
      </c>
      <c r="H402">
        <v>110</v>
      </c>
      <c r="I402" t="s">
        <v>15</v>
      </c>
      <c r="J402">
        <v>0</v>
      </c>
      <c r="K402" t="s">
        <v>19</v>
      </c>
      <c r="L402">
        <v>1</v>
      </c>
    </row>
    <row r="403" spans="1:12" x14ac:dyDescent="0.3">
      <c r="A403">
        <v>51</v>
      </c>
      <c r="B403" t="s">
        <v>12</v>
      </c>
      <c r="C403" t="s">
        <v>21</v>
      </c>
      <c r="D403">
        <v>130</v>
      </c>
      <c r="E403">
        <v>0</v>
      </c>
      <c r="F403">
        <v>1</v>
      </c>
      <c r="G403" t="s">
        <v>20</v>
      </c>
      <c r="H403">
        <v>163</v>
      </c>
      <c r="I403" t="s">
        <v>15</v>
      </c>
      <c r="J403">
        <v>0</v>
      </c>
      <c r="K403" t="s">
        <v>19</v>
      </c>
      <c r="L403">
        <v>1</v>
      </c>
    </row>
    <row r="404" spans="1:12" x14ac:dyDescent="0.3">
      <c r="A404">
        <v>65</v>
      </c>
      <c r="B404" t="s">
        <v>12</v>
      </c>
      <c r="C404" t="s">
        <v>21</v>
      </c>
      <c r="D404">
        <v>145</v>
      </c>
      <c r="E404">
        <v>0</v>
      </c>
      <c r="F404">
        <v>1</v>
      </c>
      <c r="G404" t="s">
        <v>20</v>
      </c>
      <c r="H404">
        <v>67</v>
      </c>
      <c r="I404" t="s">
        <v>15</v>
      </c>
      <c r="J404">
        <v>0.7</v>
      </c>
      <c r="K404" t="s">
        <v>19</v>
      </c>
      <c r="L404">
        <v>1</v>
      </c>
    </row>
    <row r="405" spans="1:12" x14ac:dyDescent="0.3">
      <c r="A405">
        <v>52</v>
      </c>
      <c r="B405" t="s">
        <v>12</v>
      </c>
      <c r="C405" t="s">
        <v>21</v>
      </c>
      <c r="D405">
        <v>135</v>
      </c>
      <c r="E405">
        <v>0</v>
      </c>
      <c r="F405">
        <v>1</v>
      </c>
      <c r="G405" t="s">
        <v>14</v>
      </c>
      <c r="H405">
        <v>128</v>
      </c>
      <c r="I405" t="s">
        <v>22</v>
      </c>
      <c r="J405">
        <v>2</v>
      </c>
      <c r="K405" t="s">
        <v>19</v>
      </c>
      <c r="L405">
        <v>1</v>
      </c>
    </row>
    <row r="406" spans="1:12" x14ac:dyDescent="0.3">
      <c r="A406">
        <v>47</v>
      </c>
      <c r="B406" t="s">
        <v>12</v>
      </c>
      <c r="C406" t="s">
        <v>18</v>
      </c>
      <c r="D406">
        <v>110</v>
      </c>
      <c r="E406">
        <v>0</v>
      </c>
      <c r="F406">
        <v>1</v>
      </c>
      <c r="G406" t="s">
        <v>14</v>
      </c>
      <c r="H406">
        <v>120</v>
      </c>
      <c r="I406" t="s">
        <v>22</v>
      </c>
      <c r="J406">
        <v>0</v>
      </c>
      <c r="K406" t="s">
        <v>19</v>
      </c>
      <c r="L406">
        <v>1</v>
      </c>
    </row>
    <row r="407" spans="1:12" x14ac:dyDescent="0.3">
      <c r="A407">
        <v>35</v>
      </c>
      <c r="B407" t="s">
        <v>12</v>
      </c>
      <c r="C407" t="s">
        <v>21</v>
      </c>
      <c r="D407">
        <v>120</v>
      </c>
      <c r="E407">
        <v>0</v>
      </c>
      <c r="F407">
        <v>1</v>
      </c>
      <c r="G407" t="s">
        <v>14</v>
      </c>
      <c r="H407">
        <v>130</v>
      </c>
      <c r="I407" t="s">
        <v>22</v>
      </c>
      <c r="J407">
        <v>1.2</v>
      </c>
      <c r="K407" t="s">
        <v>19</v>
      </c>
      <c r="L407">
        <v>1</v>
      </c>
    </row>
    <row r="408" spans="1:12" x14ac:dyDescent="0.3">
      <c r="A408">
        <v>57</v>
      </c>
      <c r="B408" t="s">
        <v>12</v>
      </c>
      <c r="C408" t="s">
        <v>21</v>
      </c>
      <c r="D408">
        <v>140</v>
      </c>
      <c r="E408">
        <v>0</v>
      </c>
      <c r="F408">
        <v>1</v>
      </c>
      <c r="G408" t="s">
        <v>14</v>
      </c>
      <c r="H408">
        <v>100</v>
      </c>
      <c r="I408" t="s">
        <v>22</v>
      </c>
      <c r="J408">
        <v>0</v>
      </c>
      <c r="K408" t="s">
        <v>19</v>
      </c>
      <c r="L408">
        <v>1</v>
      </c>
    </row>
    <row r="409" spans="1:12" x14ac:dyDescent="0.3">
      <c r="A409">
        <v>62</v>
      </c>
      <c r="B409" t="s">
        <v>12</v>
      </c>
      <c r="C409" t="s">
        <v>21</v>
      </c>
      <c r="D409">
        <v>115</v>
      </c>
      <c r="E409">
        <v>0</v>
      </c>
      <c r="F409">
        <v>1</v>
      </c>
      <c r="G409" t="s">
        <v>14</v>
      </c>
      <c r="H409">
        <v>72</v>
      </c>
      <c r="I409" t="s">
        <v>22</v>
      </c>
      <c r="J409">
        <v>-0.5</v>
      </c>
      <c r="K409" t="s">
        <v>19</v>
      </c>
      <c r="L409">
        <v>1</v>
      </c>
    </row>
    <row r="410" spans="1:12" x14ac:dyDescent="0.3">
      <c r="A410">
        <v>59</v>
      </c>
      <c r="B410" t="s">
        <v>12</v>
      </c>
      <c r="C410" t="s">
        <v>21</v>
      </c>
      <c r="D410">
        <v>110</v>
      </c>
      <c r="E410">
        <v>0</v>
      </c>
      <c r="F410">
        <v>1</v>
      </c>
      <c r="G410" t="s">
        <v>14</v>
      </c>
      <c r="H410">
        <v>94</v>
      </c>
      <c r="I410" t="s">
        <v>15</v>
      </c>
      <c r="J410">
        <v>0</v>
      </c>
      <c r="K410" t="s">
        <v>19</v>
      </c>
      <c r="L410">
        <v>1</v>
      </c>
    </row>
    <row r="411" spans="1:12" x14ac:dyDescent="0.3">
      <c r="A411">
        <v>53</v>
      </c>
      <c r="B411" t="s">
        <v>12</v>
      </c>
      <c r="C411" t="s">
        <v>18</v>
      </c>
      <c r="D411">
        <v>160</v>
      </c>
      <c r="E411">
        <v>0</v>
      </c>
      <c r="F411">
        <v>1</v>
      </c>
      <c r="G411" t="s">
        <v>24</v>
      </c>
      <c r="H411">
        <v>122</v>
      </c>
      <c r="I411" t="s">
        <v>22</v>
      </c>
      <c r="J411">
        <v>0</v>
      </c>
      <c r="K411" t="s">
        <v>19</v>
      </c>
      <c r="L411">
        <v>1</v>
      </c>
    </row>
    <row r="412" spans="1:12" x14ac:dyDescent="0.3">
      <c r="A412">
        <v>62</v>
      </c>
      <c r="B412" t="s">
        <v>12</v>
      </c>
      <c r="C412" t="s">
        <v>21</v>
      </c>
      <c r="D412">
        <v>150</v>
      </c>
      <c r="E412">
        <v>0</v>
      </c>
      <c r="F412">
        <v>1</v>
      </c>
      <c r="G412" t="s">
        <v>20</v>
      </c>
      <c r="H412">
        <v>78</v>
      </c>
      <c r="I412" t="s">
        <v>15</v>
      </c>
      <c r="J412">
        <v>2</v>
      </c>
      <c r="K412" t="s">
        <v>19</v>
      </c>
      <c r="L412">
        <v>1</v>
      </c>
    </row>
    <row r="413" spans="1:12" x14ac:dyDescent="0.3">
      <c r="A413">
        <v>54</v>
      </c>
      <c r="B413" t="s">
        <v>12</v>
      </c>
      <c r="C413" t="s">
        <v>21</v>
      </c>
      <c r="D413">
        <v>180</v>
      </c>
      <c r="E413">
        <v>0</v>
      </c>
      <c r="F413">
        <v>1</v>
      </c>
      <c r="G413" t="s">
        <v>14</v>
      </c>
      <c r="H413">
        <v>150</v>
      </c>
      <c r="I413" t="s">
        <v>15</v>
      </c>
      <c r="J413">
        <v>1.5</v>
      </c>
      <c r="K413" t="s">
        <v>19</v>
      </c>
      <c r="L413">
        <v>1</v>
      </c>
    </row>
    <row r="414" spans="1:12" x14ac:dyDescent="0.3">
      <c r="A414">
        <v>56</v>
      </c>
      <c r="B414" t="s">
        <v>12</v>
      </c>
      <c r="C414" t="s">
        <v>21</v>
      </c>
      <c r="D414">
        <v>125</v>
      </c>
      <c r="E414">
        <v>0</v>
      </c>
      <c r="F414">
        <v>1</v>
      </c>
      <c r="G414" t="s">
        <v>14</v>
      </c>
      <c r="H414">
        <v>103</v>
      </c>
      <c r="I414" t="s">
        <v>22</v>
      </c>
      <c r="J414">
        <v>1</v>
      </c>
      <c r="K414" t="s">
        <v>19</v>
      </c>
      <c r="L414">
        <v>1</v>
      </c>
    </row>
    <row r="415" spans="1:12" x14ac:dyDescent="0.3">
      <c r="A415">
        <v>56</v>
      </c>
      <c r="B415" t="s">
        <v>12</v>
      </c>
      <c r="C415" t="s">
        <v>18</v>
      </c>
      <c r="D415">
        <v>125</v>
      </c>
      <c r="E415">
        <v>0</v>
      </c>
      <c r="F415">
        <v>1</v>
      </c>
      <c r="G415" t="s">
        <v>14</v>
      </c>
      <c r="H415">
        <v>98</v>
      </c>
      <c r="I415" t="s">
        <v>15</v>
      </c>
      <c r="J415">
        <v>-2</v>
      </c>
      <c r="K415" t="s">
        <v>19</v>
      </c>
      <c r="L415">
        <v>1</v>
      </c>
    </row>
    <row r="416" spans="1:12" x14ac:dyDescent="0.3">
      <c r="A416">
        <v>54</v>
      </c>
      <c r="B416" t="s">
        <v>12</v>
      </c>
      <c r="C416" t="s">
        <v>21</v>
      </c>
      <c r="D416">
        <v>130</v>
      </c>
      <c r="E416">
        <v>0</v>
      </c>
      <c r="F416">
        <v>1</v>
      </c>
      <c r="G416" t="s">
        <v>14</v>
      </c>
      <c r="H416">
        <v>110</v>
      </c>
      <c r="I416" t="s">
        <v>22</v>
      </c>
      <c r="J416">
        <v>3</v>
      </c>
      <c r="K416" t="s">
        <v>19</v>
      </c>
      <c r="L416">
        <v>1</v>
      </c>
    </row>
    <row r="417" spans="1:12" x14ac:dyDescent="0.3">
      <c r="A417">
        <v>66</v>
      </c>
      <c r="B417" t="s">
        <v>17</v>
      </c>
      <c r="C417" t="s">
        <v>21</v>
      </c>
      <c r="D417">
        <v>155</v>
      </c>
      <c r="E417">
        <v>0</v>
      </c>
      <c r="F417">
        <v>1</v>
      </c>
      <c r="G417" t="s">
        <v>14</v>
      </c>
      <c r="H417">
        <v>90</v>
      </c>
      <c r="I417" t="s">
        <v>15</v>
      </c>
      <c r="J417">
        <v>0</v>
      </c>
      <c r="K417" t="s">
        <v>19</v>
      </c>
      <c r="L417">
        <v>1</v>
      </c>
    </row>
    <row r="418" spans="1:12" x14ac:dyDescent="0.3">
      <c r="A418">
        <v>63</v>
      </c>
      <c r="B418" t="s">
        <v>12</v>
      </c>
      <c r="C418" t="s">
        <v>21</v>
      </c>
      <c r="D418">
        <v>140</v>
      </c>
      <c r="E418">
        <v>260</v>
      </c>
      <c r="F418">
        <v>0</v>
      </c>
      <c r="G418" t="s">
        <v>20</v>
      </c>
      <c r="H418">
        <v>112</v>
      </c>
      <c r="I418" t="s">
        <v>22</v>
      </c>
      <c r="J418">
        <v>3</v>
      </c>
      <c r="K418" t="s">
        <v>19</v>
      </c>
      <c r="L418">
        <v>1</v>
      </c>
    </row>
    <row r="419" spans="1:12" x14ac:dyDescent="0.3">
      <c r="A419">
        <v>44</v>
      </c>
      <c r="B419" t="s">
        <v>12</v>
      </c>
      <c r="C419" t="s">
        <v>21</v>
      </c>
      <c r="D419">
        <v>130</v>
      </c>
      <c r="E419">
        <v>209</v>
      </c>
      <c r="F419">
        <v>0</v>
      </c>
      <c r="G419" t="s">
        <v>20</v>
      </c>
      <c r="H419">
        <v>127</v>
      </c>
      <c r="I419" t="s">
        <v>15</v>
      </c>
      <c r="J419">
        <v>0</v>
      </c>
      <c r="K419" t="s">
        <v>16</v>
      </c>
      <c r="L419">
        <v>0</v>
      </c>
    </row>
    <row r="420" spans="1:12" x14ac:dyDescent="0.3">
      <c r="A420">
        <v>60</v>
      </c>
      <c r="B420" t="s">
        <v>12</v>
      </c>
      <c r="C420" t="s">
        <v>21</v>
      </c>
      <c r="D420">
        <v>132</v>
      </c>
      <c r="E420">
        <v>218</v>
      </c>
      <c r="F420">
        <v>0</v>
      </c>
      <c r="G420" t="s">
        <v>20</v>
      </c>
      <c r="H420">
        <v>140</v>
      </c>
      <c r="I420" t="s">
        <v>22</v>
      </c>
      <c r="J420">
        <v>1.5</v>
      </c>
      <c r="K420" t="s">
        <v>25</v>
      </c>
      <c r="L420">
        <v>1</v>
      </c>
    </row>
    <row r="421" spans="1:12" x14ac:dyDescent="0.3">
      <c r="A421">
        <v>55</v>
      </c>
      <c r="B421" t="s">
        <v>12</v>
      </c>
      <c r="C421" t="s">
        <v>21</v>
      </c>
      <c r="D421">
        <v>142</v>
      </c>
      <c r="E421">
        <v>228</v>
      </c>
      <c r="F421">
        <v>0</v>
      </c>
      <c r="G421" t="s">
        <v>20</v>
      </c>
      <c r="H421">
        <v>149</v>
      </c>
      <c r="I421" t="s">
        <v>22</v>
      </c>
      <c r="J421">
        <v>2.5</v>
      </c>
      <c r="K421" t="s">
        <v>16</v>
      </c>
      <c r="L421">
        <v>1</v>
      </c>
    </row>
    <row r="422" spans="1:12" x14ac:dyDescent="0.3">
      <c r="A422">
        <v>66</v>
      </c>
      <c r="B422" t="s">
        <v>12</v>
      </c>
      <c r="C422" t="s">
        <v>18</v>
      </c>
      <c r="D422">
        <v>110</v>
      </c>
      <c r="E422">
        <v>213</v>
      </c>
      <c r="F422">
        <v>1</v>
      </c>
      <c r="G422" t="s">
        <v>24</v>
      </c>
      <c r="H422">
        <v>99</v>
      </c>
      <c r="I422" t="s">
        <v>22</v>
      </c>
      <c r="J422">
        <v>1.3</v>
      </c>
      <c r="K422" t="s">
        <v>19</v>
      </c>
      <c r="L422">
        <v>0</v>
      </c>
    </row>
    <row r="423" spans="1:12" x14ac:dyDescent="0.3">
      <c r="A423">
        <v>66</v>
      </c>
      <c r="B423" t="s">
        <v>12</v>
      </c>
      <c r="C423" t="s">
        <v>18</v>
      </c>
      <c r="D423">
        <v>120</v>
      </c>
      <c r="E423">
        <v>0</v>
      </c>
      <c r="F423">
        <v>0</v>
      </c>
      <c r="G423" t="s">
        <v>20</v>
      </c>
      <c r="H423">
        <v>120</v>
      </c>
      <c r="I423" t="s">
        <v>15</v>
      </c>
      <c r="J423">
        <v>-0.5</v>
      </c>
      <c r="K423" t="s">
        <v>16</v>
      </c>
      <c r="L423">
        <v>0</v>
      </c>
    </row>
    <row r="424" spans="1:12" x14ac:dyDescent="0.3">
      <c r="A424">
        <v>65</v>
      </c>
      <c r="B424" t="s">
        <v>12</v>
      </c>
      <c r="C424" t="s">
        <v>21</v>
      </c>
      <c r="D424">
        <v>150</v>
      </c>
      <c r="E424">
        <v>236</v>
      </c>
      <c r="F424">
        <v>1</v>
      </c>
      <c r="G424" t="s">
        <v>20</v>
      </c>
      <c r="H424">
        <v>105</v>
      </c>
      <c r="I424" t="s">
        <v>22</v>
      </c>
      <c r="J424">
        <v>0</v>
      </c>
      <c r="K424" t="s">
        <v>19</v>
      </c>
      <c r="L424">
        <v>1</v>
      </c>
    </row>
    <row r="425" spans="1:12" x14ac:dyDescent="0.3">
      <c r="A425">
        <v>60</v>
      </c>
      <c r="B425" t="s">
        <v>12</v>
      </c>
      <c r="C425" t="s">
        <v>18</v>
      </c>
      <c r="D425">
        <v>180</v>
      </c>
      <c r="E425">
        <v>0</v>
      </c>
      <c r="F425">
        <v>0</v>
      </c>
      <c r="G425" t="s">
        <v>20</v>
      </c>
      <c r="H425">
        <v>140</v>
      </c>
      <c r="I425" t="s">
        <v>22</v>
      </c>
      <c r="J425">
        <v>1.5</v>
      </c>
      <c r="K425" t="s">
        <v>19</v>
      </c>
      <c r="L425">
        <v>0</v>
      </c>
    </row>
    <row r="426" spans="1:12" x14ac:dyDescent="0.3">
      <c r="A426">
        <v>60</v>
      </c>
      <c r="B426" t="s">
        <v>12</v>
      </c>
      <c r="C426" t="s">
        <v>18</v>
      </c>
      <c r="D426">
        <v>120</v>
      </c>
      <c r="E426">
        <v>0</v>
      </c>
      <c r="F426">
        <v>1</v>
      </c>
      <c r="G426" t="s">
        <v>14</v>
      </c>
      <c r="H426">
        <v>141</v>
      </c>
      <c r="I426" t="s">
        <v>22</v>
      </c>
      <c r="J426">
        <v>2</v>
      </c>
      <c r="K426" t="s">
        <v>16</v>
      </c>
      <c r="L426">
        <v>1</v>
      </c>
    </row>
    <row r="427" spans="1:12" x14ac:dyDescent="0.3">
      <c r="A427">
        <v>60</v>
      </c>
      <c r="B427" t="s">
        <v>12</v>
      </c>
      <c r="C427" t="s">
        <v>13</v>
      </c>
      <c r="D427">
        <v>160</v>
      </c>
      <c r="E427">
        <v>267</v>
      </c>
      <c r="F427">
        <v>1</v>
      </c>
      <c r="G427" t="s">
        <v>20</v>
      </c>
      <c r="H427">
        <v>157</v>
      </c>
      <c r="I427" t="s">
        <v>15</v>
      </c>
      <c r="J427">
        <v>0.5</v>
      </c>
      <c r="K427" t="s">
        <v>19</v>
      </c>
      <c r="L427">
        <v>1</v>
      </c>
    </row>
    <row r="428" spans="1:12" x14ac:dyDescent="0.3">
      <c r="A428">
        <v>56</v>
      </c>
      <c r="B428" t="s">
        <v>12</v>
      </c>
      <c r="C428" t="s">
        <v>13</v>
      </c>
      <c r="D428">
        <v>126</v>
      </c>
      <c r="E428">
        <v>166</v>
      </c>
      <c r="F428">
        <v>0</v>
      </c>
      <c r="G428" t="s">
        <v>20</v>
      </c>
      <c r="H428">
        <v>140</v>
      </c>
      <c r="I428" t="s">
        <v>15</v>
      </c>
      <c r="J428">
        <v>0</v>
      </c>
      <c r="K428" t="s">
        <v>16</v>
      </c>
      <c r="L428">
        <v>0</v>
      </c>
    </row>
    <row r="429" spans="1:12" x14ac:dyDescent="0.3">
      <c r="A429">
        <v>59</v>
      </c>
      <c r="B429" t="s">
        <v>12</v>
      </c>
      <c r="C429" t="s">
        <v>21</v>
      </c>
      <c r="D429">
        <v>140</v>
      </c>
      <c r="E429">
        <v>0</v>
      </c>
      <c r="F429">
        <v>0</v>
      </c>
      <c r="G429" t="s">
        <v>20</v>
      </c>
      <c r="H429">
        <v>117</v>
      </c>
      <c r="I429" t="s">
        <v>22</v>
      </c>
      <c r="J429">
        <v>1</v>
      </c>
      <c r="K429" t="s">
        <v>19</v>
      </c>
      <c r="L429">
        <v>1</v>
      </c>
    </row>
    <row r="430" spans="1:12" x14ac:dyDescent="0.3">
      <c r="A430">
        <v>62</v>
      </c>
      <c r="B430" t="s">
        <v>12</v>
      </c>
      <c r="C430" t="s">
        <v>21</v>
      </c>
      <c r="D430">
        <v>110</v>
      </c>
      <c r="E430">
        <v>0</v>
      </c>
      <c r="F430">
        <v>0</v>
      </c>
      <c r="G430" t="s">
        <v>14</v>
      </c>
      <c r="H430">
        <v>120</v>
      </c>
      <c r="I430" t="s">
        <v>22</v>
      </c>
      <c r="J430">
        <v>0.5</v>
      </c>
      <c r="K430" t="s">
        <v>19</v>
      </c>
      <c r="L430">
        <v>1</v>
      </c>
    </row>
    <row r="431" spans="1:12" x14ac:dyDescent="0.3">
      <c r="A431">
        <v>63</v>
      </c>
      <c r="B431" t="s">
        <v>12</v>
      </c>
      <c r="C431" t="s">
        <v>18</v>
      </c>
      <c r="D431">
        <v>133</v>
      </c>
      <c r="E431">
        <v>0</v>
      </c>
      <c r="F431">
        <v>0</v>
      </c>
      <c r="G431" t="s">
        <v>24</v>
      </c>
      <c r="H431">
        <v>120</v>
      </c>
      <c r="I431" t="s">
        <v>22</v>
      </c>
      <c r="J431">
        <v>1</v>
      </c>
      <c r="K431" t="s">
        <v>19</v>
      </c>
      <c r="L431">
        <v>1</v>
      </c>
    </row>
    <row r="432" spans="1:12" x14ac:dyDescent="0.3">
      <c r="A432">
        <v>57</v>
      </c>
      <c r="B432" t="s">
        <v>12</v>
      </c>
      <c r="C432" t="s">
        <v>21</v>
      </c>
      <c r="D432">
        <v>128</v>
      </c>
      <c r="E432">
        <v>0</v>
      </c>
      <c r="F432">
        <v>1</v>
      </c>
      <c r="G432" t="s">
        <v>20</v>
      </c>
      <c r="H432">
        <v>148</v>
      </c>
      <c r="I432" t="s">
        <v>22</v>
      </c>
      <c r="J432">
        <v>1</v>
      </c>
      <c r="K432" t="s">
        <v>19</v>
      </c>
      <c r="L432">
        <v>1</v>
      </c>
    </row>
    <row r="433" spans="1:12" x14ac:dyDescent="0.3">
      <c r="A433">
        <v>62</v>
      </c>
      <c r="B433" t="s">
        <v>12</v>
      </c>
      <c r="C433" t="s">
        <v>21</v>
      </c>
      <c r="D433">
        <v>120</v>
      </c>
      <c r="E433">
        <v>220</v>
      </c>
      <c r="F433">
        <v>0</v>
      </c>
      <c r="G433" t="s">
        <v>20</v>
      </c>
      <c r="H433">
        <v>86</v>
      </c>
      <c r="I433" t="s">
        <v>15</v>
      </c>
      <c r="J433">
        <v>0</v>
      </c>
      <c r="K433" t="s">
        <v>16</v>
      </c>
      <c r="L433">
        <v>0</v>
      </c>
    </row>
    <row r="434" spans="1:12" x14ac:dyDescent="0.3">
      <c r="A434">
        <v>63</v>
      </c>
      <c r="B434" t="s">
        <v>12</v>
      </c>
      <c r="C434" t="s">
        <v>21</v>
      </c>
      <c r="D434">
        <v>170</v>
      </c>
      <c r="E434">
        <v>177</v>
      </c>
      <c r="F434">
        <v>0</v>
      </c>
      <c r="G434" t="s">
        <v>14</v>
      </c>
      <c r="H434">
        <v>84</v>
      </c>
      <c r="I434" t="s">
        <v>22</v>
      </c>
      <c r="J434">
        <v>2.5</v>
      </c>
      <c r="K434" t="s">
        <v>25</v>
      </c>
      <c r="L434">
        <v>1</v>
      </c>
    </row>
    <row r="435" spans="1:12" x14ac:dyDescent="0.3">
      <c r="A435">
        <v>46</v>
      </c>
      <c r="B435" t="s">
        <v>12</v>
      </c>
      <c r="C435" t="s">
        <v>21</v>
      </c>
      <c r="D435">
        <v>110</v>
      </c>
      <c r="E435">
        <v>236</v>
      </c>
      <c r="F435">
        <v>0</v>
      </c>
      <c r="G435" t="s">
        <v>14</v>
      </c>
      <c r="H435">
        <v>125</v>
      </c>
      <c r="I435" t="s">
        <v>22</v>
      </c>
      <c r="J435">
        <v>2</v>
      </c>
      <c r="K435" t="s">
        <v>19</v>
      </c>
      <c r="L435">
        <v>1</v>
      </c>
    </row>
    <row r="436" spans="1:12" x14ac:dyDescent="0.3">
      <c r="A436">
        <v>63</v>
      </c>
      <c r="B436" t="s">
        <v>12</v>
      </c>
      <c r="C436" t="s">
        <v>21</v>
      </c>
      <c r="D436">
        <v>126</v>
      </c>
      <c r="E436">
        <v>0</v>
      </c>
      <c r="F436">
        <v>0</v>
      </c>
      <c r="G436" t="s">
        <v>20</v>
      </c>
      <c r="H436">
        <v>120</v>
      </c>
      <c r="I436" t="s">
        <v>15</v>
      </c>
      <c r="J436">
        <v>1.5</v>
      </c>
      <c r="K436" t="s">
        <v>25</v>
      </c>
      <c r="L436">
        <v>0</v>
      </c>
    </row>
    <row r="437" spans="1:12" x14ac:dyDescent="0.3">
      <c r="A437">
        <v>60</v>
      </c>
      <c r="B437" t="s">
        <v>12</v>
      </c>
      <c r="C437" t="s">
        <v>21</v>
      </c>
      <c r="D437">
        <v>152</v>
      </c>
      <c r="E437">
        <v>0</v>
      </c>
      <c r="F437">
        <v>0</v>
      </c>
      <c r="G437" t="s">
        <v>20</v>
      </c>
      <c r="H437">
        <v>118</v>
      </c>
      <c r="I437" t="s">
        <v>22</v>
      </c>
      <c r="J437">
        <v>0</v>
      </c>
      <c r="K437" t="s">
        <v>16</v>
      </c>
      <c r="L437">
        <v>0</v>
      </c>
    </row>
    <row r="438" spans="1:12" x14ac:dyDescent="0.3">
      <c r="A438">
        <v>58</v>
      </c>
      <c r="B438" t="s">
        <v>12</v>
      </c>
      <c r="C438" t="s">
        <v>21</v>
      </c>
      <c r="D438">
        <v>116</v>
      </c>
      <c r="E438">
        <v>0</v>
      </c>
      <c r="F438">
        <v>0</v>
      </c>
      <c r="G438" t="s">
        <v>14</v>
      </c>
      <c r="H438">
        <v>124</v>
      </c>
      <c r="I438" t="s">
        <v>15</v>
      </c>
      <c r="J438">
        <v>1</v>
      </c>
      <c r="K438" t="s">
        <v>16</v>
      </c>
      <c r="L438">
        <v>1</v>
      </c>
    </row>
    <row r="439" spans="1:12" x14ac:dyDescent="0.3">
      <c r="A439">
        <v>64</v>
      </c>
      <c r="B439" t="s">
        <v>12</v>
      </c>
      <c r="C439" t="s">
        <v>21</v>
      </c>
      <c r="D439">
        <v>120</v>
      </c>
      <c r="E439">
        <v>0</v>
      </c>
      <c r="F439">
        <v>1</v>
      </c>
      <c r="G439" t="s">
        <v>20</v>
      </c>
      <c r="H439">
        <v>106</v>
      </c>
      <c r="I439" t="s">
        <v>15</v>
      </c>
      <c r="J439">
        <v>2</v>
      </c>
      <c r="K439" t="s">
        <v>19</v>
      </c>
      <c r="L439">
        <v>1</v>
      </c>
    </row>
    <row r="440" spans="1:12" x14ac:dyDescent="0.3">
      <c r="A440">
        <v>63</v>
      </c>
      <c r="B440" t="s">
        <v>12</v>
      </c>
      <c r="C440" t="s">
        <v>18</v>
      </c>
      <c r="D440">
        <v>130</v>
      </c>
      <c r="E440">
        <v>0</v>
      </c>
      <c r="F440">
        <v>0</v>
      </c>
      <c r="G440" t="s">
        <v>20</v>
      </c>
      <c r="H440">
        <v>111</v>
      </c>
      <c r="I440" t="s">
        <v>22</v>
      </c>
      <c r="J440">
        <v>0</v>
      </c>
      <c r="K440" t="s">
        <v>19</v>
      </c>
      <c r="L440">
        <v>1</v>
      </c>
    </row>
    <row r="441" spans="1:12" x14ac:dyDescent="0.3">
      <c r="A441">
        <v>74</v>
      </c>
      <c r="B441" t="s">
        <v>12</v>
      </c>
      <c r="C441" t="s">
        <v>18</v>
      </c>
      <c r="D441">
        <v>138</v>
      </c>
      <c r="E441">
        <v>0</v>
      </c>
      <c r="F441">
        <v>0</v>
      </c>
      <c r="G441" t="s">
        <v>14</v>
      </c>
      <c r="H441">
        <v>116</v>
      </c>
      <c r="I441" t="s">
        <v>15</v>
      </c>
      <c r="J441">
        <v>0.2</v>
      </c>
      <c r="K441" t="s">
        <v>16</v>
      </c>
      <c r="L441">
        <v>0</v>
      </c>
    </row>
    <row r="442" spans="1:12" x14ac:dyDescent="0.3">
      <c r="A442">
        <v>52</v>
      </c>
      <c r="B442" t="s">
        <v>12</v>
      </c>
      <c r="C442" t="s">
        <v>18</v>
      </c>
      <c r="D442">
        <v>128</v>
      </c>
      <c r="E442">
        <v>0</v>
      </c>
      <c r="F442">
        <v>0</v>
      </c>
      <c r="G442" t="s">
        <v>20</v>
      </c>
      <c r="H442">
        <v>180</v>
      </c>
      <c r="I442" t="s">
        <v>15</v>
      </c>
      <c r="J442">
        <v>3</v>
      </c>
      <c r="K442" t="s">
        <v>16</v>
      </c>
      <c r="L442">
        <v>1</v>
      </c>
    </row>
    <row r="443" spans="1:12" x14ac:dyDescent="0.3">
      <c r="A443">
        <v>69</v>
      </c>
      <c r="B443" t="s">
        <v>12</v>
      </c>
      <c r="C443" t="s">
        <v>21</v>
      </c>
      <c r="D443">
        <v>130</v>
      </c>
      <c r="E443">
        <v>0</v>
      </c>
      <c r="F443">
        <v>1</v>
      </c>
      <c r="G443" t="s">
        <v>20</v>
      </c>
      <c r="H443">
        <v>129</v>
      </c>
      <c r="I443" t="s">
        <v>15</v>
      </c>
      <c r="J443">
        <v>1</v>
      </c>
      <c r="K443" t="s">
        <v>19</v>
      </c>
      <c r="L443">
        <v>1</v>
      </c>
    </row>
    <row r="444" spans="1:12" x14ac:dyDescent="0.3">
      <c r="A444">
        <v>51</v>
      </c>
      <c r="B444" t="s">
        <v>12</v>
      </c>
      <c r="C444" t="s">
        <v>21</v>
      </c>
      <c r="D444">
        <v>128</v>
      </c>
      <c r="E444">
        <v>0</v>
      </c>
      <c r="F444">
        <v>1</v>
      </c>
      <c r="G444" t="s">
        <v>20</v>
      </c>
      <c r="H444">
        <v>125</v>
      </c>
      <c r="I444" t="s">
        <v>22</v>
      </c>
      <c r="J444">
        <v>1.2</v>
      </c>
      <c r="K444" t="s">
        <v>19</v>
      </c>
      <c r="L444">
        <v>1</v>
      </c>
    </row>
    <row r="445" spans="1:12" x14ac:dyDescent="0.3">
      <c r="A445">
        <v>60</v>
      </c>
      <c r="B445" t="s">
        <v>12</v>
      </c>
      <c r="C445" t="s">
        <v>21</v>
      </c>
      <c r="D445">
        <v>130</v>
      </c>
      <c r="E445">
        <v>186</v>
      </c>
      <c r="F445">
        <v>1</v>
      </c>
      <c r="G445" t="s">
        <v>20</v>
      </c>
      <c r="H445">
        <v>140</v>
      </c>
      <c r="I445" t="s">
        <v>22</v>
      </c>
      <c r="J445">
        <v>0.5</v>
      </c>
      <c r="K445" t="s">
        <v>19</v>
      </c>
      <c r="L445">
        <v>1</v>
      </c>
    </row>
    <row r="446" spans="1:12" x14ac:dyDescent="0.3">
      <c r="A446">
        <v>56</v>
      </c>
      <c r="B446" t="s">
        <v>12</v>
      </c>
      <c r="C446" t="s">
        <v>21</v>
      </c>
      <c r="D446">
        <v>120</v>
      </c>
      <c r="E446">
        <v>100</v>
      </c>
      <c r="F446">
        <v>0</v>
      </c>
      <c r="G446" t="s">
        <v>14</v>
      </c>
      <c r="H446">
        <v>120</v>
      </c>
      <c r="I446" t="s">
        <v>22</v>
      </c>
      <c r="J446">
        <v>1.5</v>
      </c>
      <c r="K446" t="s">
        <v>19</v>
      </c>
      <c r="L446">
        <v>1</v>
      </c>
    </row>
    <row r="447" spans="1:12" x14ac:dyDescent="0.3">
      <c r="A447">
        <v>55</v>
      </c>
      <c r="B447" t="s">
        <v>12</v>
      </c>
      <c r="C447" t="s">
        <v>18</v>
      </c>
      <c r="D447">
        <v>136</v>
      </c>
      <c r="E447">
        <v>228</v>
      </c>
      <c r="F447">
        <v>0</v>
      </c>
      <c r="G447" t="s">
        <v>20</v>
      </c>
      <c r="H447">
        <v>124</v>
      </c>
      <c r="I447" t="s">
        <v>22</v>
      </c>
      <c r="J447">
        <v>1.6</v>
      </c>
      <c r="K447" t="s">
        <v>19</v>
      </c>
      <c r="L447">
        <v>1</v>
      </c>
    </row>
    <row r="448" spans="1:12" x14ac:dyDescent="0.3">
      <c r="A448">
        <v>54</v>
      </c>
      <c r="B448" t="s">
        <v>12</v>
      </c>
      <c r="C448" t="s">
        <v>21</v>
      </c>
      <c r="D448">
        <v>130</v>
      </c>
      <c r="E448">
        <v>0</v>
      </c>
      <c r="F448">
        <v>0</v>
      </c>
      <c r="G448" t="s">
        <v>20</v>
      </c>
      <c r="H448">
        <v>117</v>
      </c>
      <c r="I448" t="s">
        <v>22</v>
      </c>
      <c r="J448">
        <v>1.4</v>
      </c>
      <c r="K448" t="s">
        <v>19</v>
      </c>
      <c r="L448">
        <v>1</v>
      </c>
    </row>
    <row r="449" spans="1:12" x14ac:dyDescent="0.3">
      <c r="A449">
        <v>77</v>
      </c>
      <c r="B449" t="s">
        <v>12</v>
      </c>
      <c r="C449" t="s">
        <v>21</v>
      </c>
      <c r="D449">
        <v>124</v>
      </c>
      <c r="E449">
        <v>171</v>
      </c>
      <c r="F449">
        <v>0</v>
      </c>
      <c r="G449" t="s">
        <v>20</v>
      </c>
      <c r="H449">
        <v>110</v>
      </c>
      <c r="I449" t="s">
        <v>22</v>
      </c>
      <c r="J449">
        <v>2</v>
      </c>
      <c r="K449" t="s">
        <v>16</v>
      </c>
      <c r="L449">
        <v>1</v>
      </c>
    </row>
    <row r="450" spans="1:12" x14ac:dyDescent="0.3">
      <c r="A450">
        <v>63</v>
      </c>
      <c r="B450" t="s">
        <v>12</v>
      </c>
      <c r="C450" t="s">
        <v>21</v>
      </c>
      <c r="D450">
        <v>160</v>
      </c>
      <c r="E450">
        <v>230</v>
      </c>
      <c r="F450">
        <v>1</v>
      </c>
      <c r="G450" t="s">
        <v>14</v>
      </c>
      <c r="H450">
        <v>105</v>
      </c>
      <c r="I450" t="s">
        <v>22</v>
      </c>
      <c r="J450">
        <v>1</v>
      </c>
      <c r="K450" t="s">
        <v>19</v>
      </c>
      <c r="L450">
        <v>1</v>
      </c>
    </row>
    <row r="451" spans="1:12" x14ac:dyDescent="0.3">
      <c r="A451">
        <v>55</v>
      </c>
      <c r="B451" t="s">
        <v>12</v>
      </c>
      <c r="C451" t="s">
        <v>18</v>
      </c>
      <c r="D451">
        <v>0</v>
      </c>
      <c r="E451">
        <v>0</v>
      </c>
      <c r="F451">
        <v>0</v>
      </c>
      <c r="G451" t="s">
        <v>14</v>
      </c>
      <c r="H451">
        <v>155</v>
      </c>
      <c r="I451" t="s">
        <v>15</v>
      </c>
      <c r="J451">
        <v>1.5</v>
      </c>
      <c r="K451" t="s">
        <v>19</v>
      </c>
      <c r="L451">
        <v>1</v>
      </c>
    </row>
    <row r="452" spans="1:12" x14ac:dyDescent="0.3">
      <c r="A452">
        <v>52</v>
      </c>
      <c r="B452" t="s">
        <v>12</v>
      </c>
      <c r="C452" t="s">
        <v>18</v>
      </c>
      <c r="D452">
        <v>122</v>
      </c>
      <c r="E452">
        <v>0</v>
      </c>
      <c r="F452">
        <v>0</v>
      </c>
      <c r="G452" t="s">
        <v>14</v>
      </c>
      <c r="H452">
        <v>110</v>
      </c>
      <c r="I452" t="s">
        <v>22</v>
      </c>
      <c r="J452">
        <v>2</v>
      </c>
      <c r="K452" t="s">
        <v>25</v>
      </c>
      <c r="L452">
        <v>1</v>
      </c>
    </row>
    <row r="453" spans="1:12" x14ac:dyDescent="0.3">
      <c r="A453">
        <v>64</v>
      </c>
      <c r="B453" t="s">
        <v>12</v>
      </c>
      <c r="C453" t="s">
        <v>21</v>
      </c>
      <c r="D453">
        <v>144</v>
      </c>
      <c r="E453">
        <v>0</v>
      </c>
      <c r="F453">
        <v>0</v>
      </c>
      <c r="G453" t="s">
        <v>20</v>
      </c>
      <c r="H453">
        <v>122</v>
      </c>
      <c r="I453" t="s">
        <v>22</v>
      </c>
      <c r="J453">
        <v>1</v>
      </c>
      <c r="K453" t="s">
        <v>19</v>
      </c>
      <c r="L453">
        <v>1</v>
      </c>
    </row>
    <row r="454" spans="1:12" x14ac:dyDescent="0.3">
      <c r="A454">
        <v>60</v>
      </c>
      <c r="B454" t="s">
        <v>12</v>
      </c>
      <c r="C454" t="s">
        <v>21</v>
      </c>
      <c r="D454">
        <v>140</v>
      </c>
      <c r="E454">
        <v>281</v>
      </c>
      <c r="F454">
        <v>0</v>
      </c>
      <c r="G454" t="s">
        <v>20</v>
      </c>
      <c r="H454">
        <v>118</v>
      </c>
      <c r="I454" t="s">
        <v>22</v>
      </c>
      <c r="J454">
        <v>1.5</v>
      </c>
      <c r="K454" t="s">
        <v>19</v>
      </c>
      <c r="L454">
        <v>1</v>
      </c>
    </row>
    <row r="455" spans="1:12" x14ac:dyDescent="0.3">
      <c r="A455">
        <v>60</v>
      </c>
      <c r="B455" t="s">
        <v>12</v>
      </c>
      <c r="C455" t="s">
        <v>21</v>
      </c>
      <c r="D455">
        <v>120</v>
      </c>
      <c r="E455">
        <v>0</v>
      </c>
      <c r="F455">
        <v>0</v>
      </c>
      <c r="G455" t="s">
        <v>14</v>
      </c>
      <c r="H455">
        <v>133</v>
      </c>
      <c r="I455" t="s">
        <v>22</v>
      </c>
      <c r="J455">
        <v>2</v>
      </c>
      <c r="K455" t="s">
        <v>16</v>
      </c>
      <c r="L455">
        <v>0</v>
      </c>
    </row>
    <row r="456" spans="1:12" x14ac:dyDescent="0.3">
      <c r="A456">
        <v>58</v>
      </c>
      <c r="B456" t="s">
        <v>12</v>
      </c>
      <c r="C456" t="s">
        <v>21</v>
      </c>
      <c r="D456">
        <v>136</v>
      </c>
      <c r="E456">
        <v>203</v>
      </c>
      <c r="F456">
        <v>1</v>
      </c>
      <c r="G456" t="s">
        <v>14</v>
      </c>
      <c r="H456">
        <v>123</v>
      </c>
      <c r="I456" t="s">
        <v>22</v>
      </c>
      <c r="J456">
        <v>1.2</v>
      </c>
      <c r="K456" t="s">
        <v>19</v>
      </c>
      <c r="L456">
        <v>1</v>
      </c>
    </row>
    <row r="457" spans="1:12" x14ac:dyDescent="0.3">
      <c r="A457">
        <v>59</v>
      </c>
      <c r="B457" t="s">
        <v>12</v>
      </c>
      <c r="C457" t="s">
        <v>21</v>
      </c>
      <c r="D457">
        <v>154</v>
      </c>
      <c r="E457">
        <v>0</v>
      </c>
      <c r="F457">
        <v>0</v>
      </c>
      <c r="G457" t="s">
        <v>20</v>
      </c>
      <c r="H457">
        <v>131</v>
      </c>
      <c r="I457" t="s">
        <v>22</v>
      </c>
      <c r="J457">
        <v>1.5</v>
      </c>
      <c r="K457" t="s">
        <v>16</v>
      </c>
      <c r="L457">
        <v>0</v>
      </c>
    </row>
    <row r="458" spans="1:12" x14ac:dyDescent="0.3">
      <c r="A458">
        <v>61</v>
      </c>
      <c r="B458" t="s">
        <v>12</v>
      </c>
      <c r="C458" t="s">
        <v>18</v>
      </c>
      <c r="D458">
        <v>120</v>
      </c>
      <c r="E458">
        <v>0</v>
      </c>
      <c r="F458">
        <v>0</v>
      </c>
      <c r="G458" t="s">
        <v>14</v>
      </c>
      <c r="H458">
        <v>80</v>
      </c>
      <c r="I458" t="s">
        <v>22</v>
      </c>
      <c r="J458">
        <v>0</v>
      </c>
      <c r="K458" t="s">
        <v>19</v>
      </c>
      <c r="L458">
        <v>1</v>
      </c>
    </row>
    <row r="459" spans="1:12" x14ac:dyDescent="0.3">
      <c r="A459">
        <v>40</v>
      </c>
      <c r="B459" t="s">
        <v>12</v>
      </c>
      <c r="C459" t="s">
        <v>21</v>
      </c>
      <c r="D459">
        <v>125</v>
      </c>
      <c r="E459">
        <v>0</v>
      </c>
      <c r="F459">
        <v>1</v>
      </c>
      <c r="G459" t="s">
        <v>14</v>
      </c>
      <c r="H459">
        <v>165</v>
      </c>
      <c r="I459" t="s">
        <v>15</v>
      </c>
      <c r="J459">
        <v>0</v>
      </c>
      <c r="K459" t="s">
        <v>19</v>
      </c>
      <c r="L459">
        <v>1</v>
      </c>
    </row>
    <row r="460" spans="1:12" x14ac:dyDescent="0.3">
      <c r="A460">
        <v>61</v>
      </c>
      <c r="B460" t="s">
        <v>12</v>
      </c>
      <c r="C460" t="s">
        <v>21</v>
      </c>
      <c r="D460">
        <v>134</v>
      </c>
      <c r="E460">
        <v>0</v>
      </c>
      <c r="F460">
        <v>1</v>
      </c>
      <c r="G460" t="s">
        <v>20</v>
      </c>
      <c r="H460">
        <v>86</v>
      </c>
      <c r="I460" t="s">
        <v>15</v>
      </c>
      <c r="J460">
        <v>1.5</v>
      </c>
      <c r="K460" t="s">
        <v>19</v>
      </c>
      <c r="L460">
        <v>1</v>
      </c>
    </row>
    <row r="461" spans="1:12" x14ac:dyDescent="0.3">
      <c r="A461">
        <v>41</v>
      </c>
      <c r="B461" t="s">
        <v>12</v>
      </c>
      <c r="C461" t="s">
        <v>21</v>
      </c>
      <c r="D461">
        <v>104</v>
      </c>
      <c r="E461">
        <v>0</v>
      </c>
      <c r="F461">
        <v>0</v>
      </c>
      <c r="G461" t="s">
        <v>20</v>
      </c>
      <c r="H461">
        <v>111</v>
      </c>
      <c r="I461" t="s">
        <v>15</v>
      </c>
      <c r="J461">
        <v>0</v>
      </c>
      <c r="K461" t="s">
        <v>16</v>
      </c>
      <c r="L461">
        <v>0</v>
      </c>
    </row>
    <row r="462" spans="1:12" x14ac:dyDescent="0.3">
      <c r="A462">
        <v>57</v>
      </c>
      <c r="B462" t="s">
        <v>12</v>
      </c>
      <c r="C462" t="s">
        <v>21</v>
      </c>
      <c r="D462">
        <v>139</v>
      </c>
      <c r="E462">
        <v>277</v>
      </c>
      <c r="F462">
        <v>1</v>
      </c>
      <c r="G462" t="s">
        <v>20</v>
      </c>
      <c r="H462">
        <v>118</v>
      </c>
      <c r="I462" t="s">
        <v>22</v>
      </c>
      <c r="J462">
        <v>1.9</v>
      </c>
      <c r="K462" t="s">
        <v>19</v>
      </c>
      <c r="L462">
        <v>1</v>
      </c>
    </row>
    <row r="463" spans="1:12" x14ac:dyDescent="0.3">
      <c r="A463">
        <v>63</v>
      </c>
      <c r="B463" t="s">
        <v>12</v>
      </c>
      <c r="C463" t="s">
        <v>21</v>
      </c>
      <c r="D463">
        <v>136</v>
      </c>
      <c r="E463">
        <v>0</v>
      </c>
      <c r="F463">
        <v>0</v>
      </c>
      <c r="G463" t="s">
        <v>14</v>
      </c>
      <c r="H463">
        <v>84</v>
      </c>
      <c r="I463" t="s">
        <v>22</v>
      </c>
      <c r="J463">
        <v>0</v>
      </c>
      <c r="K463" t="s">
        <v>19</v>
      </c>
      <c r="L463">
        <v>1</v>
      </c>
    </row>
    <row r="464" spans="1:12" x14ac:dyDescent="0.3">
      <c r="A464">
        <v>59</v>
      </c>
      <c r="B464" t="s">
        <v>12</v>
      </c>
      <c r="C464" t="s">
        <v>21</v>
      </c>
      <c r="D464">
        <v>122</v>
      </c>
      <c r="E464">
        <v>233</v>
      </c>
      <c r="F464">
        <v>0</v>
      </c>
      <c r="G464" t="s">
        <v>14</v>
      </c>
      <c r="H464">
        <v>117</v>
      </c>
      <c r="I464" t="s">
        <v>22</v>
      </c>
      <c r="J464">
        <v>1.3</v>
      </c>
      <c r="K464" t="s">
        <v>25</v>
      </c>
      <c r="L464">
        <v>1</v>
      </c>
    </row>
    <row r="465" spans="1:12" x14ac:dyDescent="0.3">
      <c r="A465">
        <v>51</v>
      </c>
      <c r="B465" t="s">
        <v>12</v>
      </c>
      <c r="C465" t="s">
        <v>21</v>
      </c>
      <c r="D465">
        <v>128</v>
      </c>
      <c r="E465">
        <v>0</v>
      </c>
      <c r="F465">
        <v>0</v>
      </c>
      <c r="G465" t="s">
        <v>14</v>
      </c>
      <c r="H465">
        <v>107</v>
      </c>
      <c r="I465" t="s">
        <v>15</v>
      </c>
      <c r="J465">
        <v>0</v>
      </c>
      <c r="K465" t="s">
        <v>16</v>
      </c>
      <c r="L465">
        <v>0</v>
      </c>
    </row>
    <row r="466" spans="1:12" x14ac:dyDescent="0.3">
      <c r="A466">
        <v>59</v>
      </c>
      <c r="B466" t="s">
        <v>12</v>
      </c>
      <c r="C466" t="s">
        <v>18</v>
      </c>
      <c r="D466">
        <v>131</v>
      </c>
      <c r="E466">
        <v>0</v>
      </c>
      <c r="F466">
        <v>0</v>
      </c>
      <c r="G466" t="s">
        <v>14</v>
      </c>
      <c r="H466">
        <v>128</v>
      </c>
      <c r="I466" t="s">
        <v>22</v>
      </c>
      <c r="J466">
        <v>2</v>
      </c>
      <c r="K466" t="s">
        <v>25</v>
      </c>
      <c r="L466">
        <v>1</v>
      </c>
    </row>
    <row r="467" spans="1:12" x14ac:dyDescent="0.3">
      <c r="A467">
        <v>42</v>
      </c>
      <c r="B467" t="s">
        <v>12</v>
      </c>
      <c r="C467" t="s">
        <v>18</v>
      </c>
      <c r="D467">
        <v>134</v>
      </c>
      <c r="E467">
        <v>240</v>
      </c>
      <c r="F467">
        <v>0</v>
      </c>
      <c r="G467" t="s">
        <v>14</v>
      </c>
      <c r="H467">
        <v>160</v>
      </c>
      <c r="I467" t="s">
        <v>15</v>
      </c>
      <c r="J467">
        <v>0</v>
      </c>
      <c r="K467" t="s">
        <v>16</v>
      </c>
      <c r="L467">
        <v>0</v>
      </c>
    </row>
    <row r="468" spans="1:12" x14ac:dyDescent="0.3">
      <c r="A468">
        <v>55</v>
      </c>
      <c r="B468" t="s">
        <v>12</v>
      </c>
      <c r="C468" t="s">
        <v>18</v>
      </c>
      <c r="D468">
        <v>120</v>
      </c>
      <c r="E468">
        <v>0</v>
      </c>
      <c r="F468">
        <v>0</v>
      </c>
      <c r="G468" t="s">
        <v>20</v>
      </c>
      <c r="H468">
        <v>125</v>
      </c>
      <c r="I468" t="s">
        <v>22</v>
      </c>
      <c r="J468">
        <v>2.5</v>
      </c>
      <c r="K468" t="s">
        <v>19</v>
      </c>
      <c r="L468">
        <v>1</v>
      </c>
    </row>
    <row r="469" spans="1:12" x14ac:dyDescent="0.3">
      <c r="A469">
        <v>63</v>
      </c>
      <c r="B469" t="s">
        <v>17</v>
      </c>
      <c r="C469" t="s">
        <v>13</v>
      </c>
      <c r="D469">
        <v>132</v>
      </c>
      <c r="E469">
        <v>0</v>
      </c>
      <c r="F469">
        <v>0</v>
      </c>
      <c r="G469" t="s">
        <v>14</v>
      </c>
      <c r="H469">
        <v>130</v>
      </c>
      <c r="I469" t="s">
        <v>15</v>
      </c>
      <c r="J469">
        <v>0.1</v>
      </c>
      <c r="K469" t="s">
        <v>16</v>
      </c>
      <c r="L469">
        <v>0</v>
      </c>
    </row>
    <row r="470" spans="1:12" x14ac:dyDescent="0.3">
      <c r="A470">
        <v>62</v>
      </c>
      <c r="B470" t="s">
        <v>12</v>
      </c>
      <c r="C470" t="s">
        <v>21</v>
      </c>
      <c r="D470">
        <v>152</v>
      </c>
      <c r="E470">
        <v>153</v>
      </c>
      <c r="F470">
        <v>0</v>
      </c>
      <c r="G470" t="s">
        <v>20</v>
      </c>
      <c r="H470">
        <v>97</v>
      </c>
      <c r="I470" t="s">
        <v>22</v>
      </c>
      <c r="J470">
        <v>1.6</v>
      </c>
      <c r="K470" t="s">
        <v>16</v>
      </c>
      <c r="L470">
        <v>1</v>
      </c>
    </row>
    <row r="471" spans="1:12" x14ac:dyDescent="0.3">
      <c r="A471">
        <v>56</v>
      </c>
      <c r="B471" t="s">
        <v>12</v>
      </c>
      <c r="C471" t="s">
        <v>13</v>
      </c>
      <c r="D471">
        <v>124</v>
      </c>
      <c r="E471">
        <v>224</v>
      </c>
      <c r="F471">
        <v>1</v>
      </c>
      <c r="G471" t="s">
        <v>14</v>
      </c>
      <c r="H471">
        <v>161</v>
      </c>
      <c r="I471" t="s">
        <v>15</v>
      </c>
      <c r="J471">
        <v>2</v>
      </c>
      <c r="K471" t="s">
        <v>19</v>
      </c>
      <c r="L471">
        <v>0</v>
      </c>
    </row>
    <row r="472" spans="1:12" x14ac:dyDescent="0.3">
      <c r="A472">
        <v>53</v>
      </c>
      <c r="B472" t="s">
        <v>12</v>
      </c>
      <c r="C472" t="s">
        <v>21</v>
      </c>
      <c r="D472">
        <v>126</v>
      </c>
      <c r="E472">
        <v>0</v>
      </c>
      <c r="F472">
        <v>0</v>
      </c>
      <c r="G472" t="s">
        <v>14</v>
      </c>
      <c r="H472">
        <v>106</v>
      </c>
      <c r="I472" t="s">
        <v>15</v>
      </c>
      <c r="J472">
        <v>0</v>
      </c>
      <c r="K472" t="s">
        <v>19</v>
      </c>
      <c r="L472">
        <v>1</v>
      </c>
    </row>
    <row r="473" spans="1:12" x14ac:dyDescent="0.3">
      <c r="A473">
        <v>68</v>
      </c>
      <c r="B473" t="s">
        <v>12</v>
      </c>
      <c r="C473" t="s">
        <v>21</v>
      </c>
      <c r="D473">
        <v>138</v>
      </c>
      <c r="E473">
        <v>0</v>
      </c>
      <c r="F473">
        <v>0</v>
      </c>
      <c r="G473" t="s">
        <v>14</v>
      </c>
      <c r="H473">
        <v>130</v>
      </c>
      <c r="I473" t="s">
        <v>22</v>
      </c>
      <c r="J473">
        <v>3</v>
      </c>
      <c r="K473" t="s">
        <v>19</v>
      </c>
      <c r="L473">
        <v>1</v>
      </c>
    </row>
    <row r="474" spans="1:12" x14ac:dyDescent="0.3">
      <c r="A474">
        <v>53</v>
      </c>
      <c r="B474" t="s">
        <v>12</v>
      </c>
      <c r="C474" t="s">
        <v>21</v>
      </c>
      <c r="D474">
        <v>154</v>
      </c>
      <c r="E474">
        <v>0</v>
      </c>
      <c r="F474">
        <v>1</v>
      </c>
      <c r="G474" t="s">
        <v>20</v>
      </c>
      <c r="H474">
        <v>140</v>
      </c>
      <c r="I474" t="s">
        <v>22</v>
      </c>
      <c r="J474">
        <v>1.5</v>
      </c>
      <c r="K474" t="s">
        <v>19</v>
      </c>
      <c r="L474">
        <v>1</v>
      </c>
    </row>
    <row r="475" spans="1:12" x14ac:dyDescent="0.3">
      <c r="A475">
        <v>60</v>
      </c>
      <c r="B475" t="s">
        <v>12</v>
      </c>
      <c r="C475" t="s">
        <v>18</v>
      </c>
      <c r="D475">
        <v>141</v>
      </c>
      <c r="E475">
        <v>316</v>
      </c>
      <c r="F475">
        <v>1</v>
      </c>
      <c r="G475" t="s">
        <v>20</v>
      </c>
      <c r="H475">
        <v>122</v>
      </c>
      <c r="I475" t="s">
        <v>22</v>
      </c>
      <c r="J475">
        <v>1.7</v>
      </c>
      <c r="K475" t="s">
        <v>19</v>
      </c>
      <c r="L475">
        <v>1</v>
      </c>
    </row>
    <row r="476" spans="1:12" x14ac:dyDescent="0.3">
      <c r="A476">
        <v>62</v>
      </c>
      <c r="B476" t="s">
        <v>12</v>
      </c>
      <c r="C476" t="s">
        <v>13</v>
      </c>
      <c r="D476">
        <v>131</v>
      </c>
      <c r="E476">
        <v>0</v>
      </c>
      <c r="F476">
        <v>0</v>
      </c>
      <c r="G476" t="s">
        <v>14</v>
      </c>
      <c r="H476">
        <v>130</v>
      </c>
      <c r="I476" t="s">
        <v>15</v>
      </c>
      <c r="J476">
        <v>0.1</v>
      </c>
      <c r="K476" t="s">
        <v>16</v>
      </c>
      <c r="L476">
        <v>0</v>
      </c>
    </row>
    <row r="477" spans="1:12" x14ac:dyDescent="0.3">
      <c r="A477">
        <v>59</v>
      </c>
      <c r="B477" t="s">
        <v>12</v>
      </c>
      <c r="C477" t="s">
        <v>21</v>
      </c>
      <c r="D477">
        <v>178</v>
      </c>
      <c r="E477">
        <v>0</v>
      </c>
      <c r="F477">
        <v>1</v>
      </c>
      <c r="G477" t="s">
        <v>24</v>
      </c>
      <c r="H477">
        <v>120</v>
      </c>
      <c r="I477" t="s">
        <v>22</v>
      </c>
      <c r="J477">
        <v>0</v>
      </c>
      <c r="K477" t="s">
        <v>19</v>
      </c>
      <c r="L477">
        <v>1</v>
      </c>
    </row>
    <row r="478" spans="1:12" x14ac:dyDescent="0.3">
      <c r="A478">
        <v>51</v>
      </c>
      <c r="B478" t="s">
        <v>12</v>
      </c>
      <c r="C478" t="s">
        <v>21</v>
      </c>
      <c r="D478">
        <v>132</v>
      </c>
      <c r="E478">
        <v>218</v>
      </c>
      <c r="F478">
        <v>1</v>
      </c>
      <c r="G478" t="s">
        <v>24</v>
      </c>
      <c r="H478">
        <v>139</v>
      </c>
      <c r="I478" t="s">
        <v>15</v>
      </c>
      <c r="J478">
        <v>0.1</v>
      </c>
      <c r="K478" t="s">
        <v>16</v>
      </c>
      <c r="L478">
        <v>0</v>
      </c>
    </row>
    <row r="479" spans="1:12" x14ac:dyDescent="0.3">
      <c r="A479">
        <v>61</v>
      </c>
      <c r="B479" t="s">
        <v>12</v>
      </c>
      <c r="C479" t="s">
        <v>21</v>
      </c>
      <c r="D479">
        <v>110</v>
      </c>
      <c r="E479">
        <v>0</v>
      </c>
      <c r="F479">
        <v>1</v>
      </c>
      <c r="G479" t="s">
        <v>14</v>
      </c>
      <c r="H479">
        <v>108</v>
      </c>
      <c r="I479" t="s">
        <v>22</v>
      </c>
      <c r="J479">
        <v>2</v>
      </c>
      <c r="K479" t="s">
        <v>25</v>
      </c>
      <c r="L479">
        <v>1</v>
      </c>
    </row>
    <row r="480" spans="1:12" x14ac:dyDescent="0.3">
      <c r="A480">
        <v>57</v>
      </c>
      <c r="B480" t="s">
        <v>12</v>
      </c>
      <c r="C480" t="s">
        <v>21</v>
      </c>
      <c r="D480">
        <v>130</v>
      </c>
      <c r="E480">
        <v>311</v>
      </c>
      <c r="F480">
        <v>1</v>
      </c>
      <c r="G480" t="s">
        <v>20</v>
      </c>
      <c r="H480">
        <v>148</v>
      </c>
      <c r="I480" t="s">
        <v>22</v>
      </c>
      <c r="J480">
        <v>2</v>
      </c>
      <c r="K480" t="s">
        <v>19</v>
      </c>
      <c r="L480">
        <v>1</v>
      </c>
    </row>
    <row r="481" spans="1:12" x14ac:dyDescent="0.3">
      <c r="A481">
        <v>56</v>
      </c>
      <c r="B481" t="s">
        <v>12</v>
      </c>
      <c r="C481" t="s">
        <v>18</v>
      </c>
      <c r="D481">
        <v>170</v>
      </c>
      <c r="E481">
        <v>0</v>
      </c>
      <c r="F481">
        <v>0</v>
      </c>
      <c r="G481" t="s">
        <v>24</v>
      </c>
      <c r="H481">
        <v>123</v>
      </c>
      <c r="I481" t="s">
        <v>22</v>
      </c>
      <c r="J481">
        <v>2.5</v>
      </c>
      <c r="K481" t="s">
        <v>19</v>
      </c>
      <c r="L481">
        <v>1</v>
      </c>
    </row>
    <row r="482" spans="1:12" x14ac:dyDescent="0.3">
      <c r="A482">
        <v>58</v>
      </c>
      <c r="B482" t="s">
        <v>12</v>
      </c>
      <c r="C482" t="s">
        <v>13</v>
      </c>
      <c r="D482">
        <v>126</v>
      </c>
      <c r="E482">
        <v>0</v>
      </c>
      <c r="F482">
        <v>1</v>
      </c>
      <c r="G482" t="s">
        <v>14</v>
      </c>
      <c r="H482">
        <v>110</v>
      </c>
      <c r="I482" t="s">
        <v>22</v>
      </c>
      <c r="J482">
        <v>2</v>
      </c>
      <c r="K482" t="s">
        <v>19</v>
      </c>
      <c r="L482">
        <v>1</v>
      </c>
    </row>
    <row r="483" spans="1:12" x14ac:dyDescent="0.3">
      <c r="A483">
        <v>69</v>
      </c>
      <c r="B483" t="s">
        <v>12</v>
      </c>
      <c r="C483" t="s">
        <v>18</v>
      </c>
      <c r="D483">
        <v>140</v>
      </c>
      <c r="E483">
        <v>0</v>
      </c>
      <c r="F483">
        <v>1</v>
      </c>
      <c r="G483" t="s">
        <v>20</v>
      </c>
      <c r="H483">
        <v>118</v>
      </c>
      <c r="I483" t="s">
        <v>15</v>
      </c>
      <c r="J483">
        <v>2.5</v>
      </c>
      <c r="K483" t="s">
        <v>25</v>
      </c>
      <c r="L483">
        <v>1</v>
      </c>
    </row>
    <row r="484" spans="1:12" x14ac:dyDescent="0.3">
      <c r="A484">
        <v>67</v>
      </c>
      <c r="B484" t="s">
        <v>12</v>
      </c>
      <c r="C484" t="s">
        <v>23</v>
      </c>
      <c r="D484">
        <v>142</v>
      </c>
      <c r="E484">
        <v>270</v>
      </c>
      <c r="F484">
        <v>1</v>
      </c>
      <c r="G484" t="s">
        <v>14</v>
      </c>
      <c r="H484">
        <v>125</v>
      </c>
      <c r="I484" t="s">
        <v>15</v>
      </c>
      <c r="J484">
        <v>2.5</v>
      </c>
      <c r="K484" t="s">
        <v>16</v>
      </c>
      <c r="L484">
        <v>1</v>
      </c>
    </row>
    <row r="485" spans="1:12" x14ac:dyDescent="0.3">
      <c r="A485">
        <v>58</v>
      </c>
      <c r="B485" t="s">
        <v>12</v>
      </c>
      <c r="C485" t="s">
        <v>21</v>
      </c>
      <c r="D485">
        <v>120</v>
      </c>
      <c r="E485">
        <v>0</v>
      </c>
      <c r="F485">
        <v>0</v>
      </c>
      <c r="G485" t="s">
        <v>24</v>
      </c>
      <c r="H485">
        <v>106</v>
      </c>
      <c r="I485" t="s">
        <v>22</v>
      </c>
      <c r="J485">
        <v>1.5</v>
      </c>
      <c r="K485" t="s">
        <v>25</v>
      </c>
      <c r="L485">
        <v>1</v>
      </c>
    </row>
    <row r="486" spans="1:12" x14ac:dyDescent="0.3">
      <c r="A486">
        <v>65</v>
      </c>
      <c r="B486" t="s">
        <v>12</v>
      </c>
      <c r="C486" t="s">
        <v>21</v>
      </c>
      <c r="D486">
        <v>134</v>
      </c>
      <c r="E486">
        <v>0</v>
      </c>
      <c r="F486">
        <v>0</v>
      </c>
      <c r="G486" t="s">
        <v>14</v>
      </c>
      <c r="H486">
        <v>112</v>
      </c>
      <c r="I486" t="s">
        <v>22</v>
      </c>
      <c r="J486">
        <v>1.1000000000000001</v>
      </c>
      <c r="K486" t="s">
        <v>19</v>
      </c>
      <c r="L486">
        <v>1</v>
      </c>
    </row>
    <row r="487" spans="1:12" x14ac:dyDescent="0.3">
      <c r="A487">
        <v>63</v>
      </c>
      <c r="B487" t="s">
        <v>12</v>
      </c>
      <c r="C487" t="s">
        <v>13</v>
      </c>
      <c r="D487">
        <v>139</v>
      </c>
      <c r="E487">
        <v>217</v>
      </c>
      <c r="F487">
        <v>1</v>
      </c>
      <c r="G487" t="s">
        <v>20</v>
      </c>
      <c r="H487">
        <v>128</v>
      </c>
      <c r="I487" t="s">
        <v>22</v>
      </c>
      <c r="J487">
        <v>1.2</v>
      </c>
      <c r="K487" t="s">
        <v>19</v>
      </c>
      <c r="L487">
        <v>1</v>
      </c>
    </row>
    <row r="488" spans="1:12" x14ac:dyDescent="0.3">
      <c r="A488">
        <v>55</v>
      </c>
      <c r="B488" t="s">
        <v>12</v>
      </c>
      <c r="C488" t="s">
        <v>13</v>
      </c>
      <c r="D488">
        <v>110</v>
      </c>
      <c r="E488">
        <v>214</v>
      </c>
      <c r="F488">
        <v>1</v>
      </c>
      <c r="G488" t="s">
        <v>20</v>
      </c>
      <c r="H488">
        <v>180</v>
      </c>
      <c r="I488" t="s">
        <v>15</v>
      </c>
      <c r="J488">
        <v>0.4</v>
      </c>
      <c r="K488" t="s">
        <v>16</v>
      </c>
      <c r="L488">
        <v>0</v>
      </c>
    </row>
    <row r="489" spans="1:12" x14ac:dyDescent="0.3">
      <c r="A489">
        <v>57</v>
      </c>
      <c r="B489" t="s">
        <v>12</v>
      </c>
      <c r="C489" t="s">
        <v>21</v>
      </c>
      <c r="D489">
        <v>140</v>
      </c>
      <c r="E489">
        <v>214</v>
      </c>
      <c r="F489">
        <v>0</v>
      </c>
      <c r="G489" t="s">
        <v>20</v>
      </c>
      <c r="H489">
        <v>144</v>
      </c>
      <c r="I489" t="s">
        <v>22</v>
      </c>
      <c r="J489">
        <v>2</v>
      </c>
      <c r="K489" t="s">
        <v>19</v>
      </c>
      <c r="L489">
        <v>1</v>
      </c>
    </row>
    <row r="490" spans="1:12" x14ac:dyDescent="0.3">
      <c r="A490">
        <v>65</v>
      </c>
      <c r="B490" t="s">
        <v>12</v>
      </c>
      <c r="C490" t="s">
        <v>23</v>
      </c>
      <c r="D490">
        <v>140</v>
      </c>
      <c r="E490">
        <v>252</v>
      </c>
      <c r="F490">
        <v>0</v>
      </c>
      <c r="G490" t="s">
        <v>14</v>
      </c>
      <c r="H490">
        <v>135</v>
      </c>
      <c r="I490" t="s">
        <v>15</v>
      </c>
      <c r="J490">
        <v>0.3</v>
      </c>
      <c r="K490" t="s">
        <v>16</v>
      </c>
      <c r="L490">
        <v>0</v>
      </c>
    </row>
    <row r="491" spans="1:12" x14ac:dyDescent="0.3">
      <c r="A491">
        <v>54</v>
      </c>
      <c r="B491" t="s">
        <v>12</v>
      </c>
      <c r="C491" t="s">
        <v>21</v>
      </c>
      <c r="D491">
        <v>136</v>
      </c>
      <c r="E491">
        <v>220</v>
      </c>
      <c r="F491">
        <v>0</v>
      </c>
      <c r="G491" t="s">
        <v>14</v>
      </c>
      <c r="H491">
        <v>140</v>
      </c>
      <c r="I491" t="s">
        <v>22</v>
      </c>
      <c r="J491">
        <v>3</v>
      </c>
      <c r="K491" t="s">
        <v>19</v>
      </c>
      <c r="L491">
        <v>1</v>
      </c>
    </row>
    <row r="492" spans="1:12" x14ac:dyDescent="0.3">
      <c r="A492">
        <v>72</v>
      </c>
      <c r="B492" t="s">
        <v>12</v>
      </c>
      <c r="C492" t="s">
        <v>18</v>
      </c>
      <c r="D492">
        <v>120</v>
      </c>
      <c r="E492">
        <v>214</v>
      </c>
      <c r="F492">
        <v>0</v>
      </c>
      <c r="G492" t="s">
        <v>14</v>
      </c>
      <c r="H492">
        <v>102</v>
      </c>
      <c r="I492" t="s">
        <v>22</v>
      </c>
      <c r="J492">
        <v>1</v>
      </c>
      <c r="K492" t="s">
        <v>19</v>
      </c>
      <c r="L492">
        <v>1</v>
      </c>
    </row>
    <row r="493" spans="1:12" x14ac:dyDescent="0.3">
      <c r="A493">
        <v>75</v>
      </c>
      <c r="B493" t="s">
        <v>12</v>
      </c>
      <c r="C493" t="s">
        <v>21</v>
      </c>
      <c r="D493">
        <v>170</v>
      </c>
      <c r="E493">
        <v>203</v>
      </c>
      <c r="F493">
        <v>1</v>
      </c>
      <c r="G493" t="s">
        <v>20</v>
      </c>
      <c r="H493">
        <v>108</v>
      </c>
      <c r="I493" t="s">
        <v>15</v>
      </c>
      <c r="J493">
        <v>0</v>
      </c>
      <c r="K493" t="s">
        <v>19</v>
      </c>
      <c r="L493">
        <v>1</v>
      </c>
    </row>
    <row r="494" spans="1:12" x14ac:dyDescent="0.3">
      <c r="A494">
        <v>49</v>
      </c>
      <c r="B494" t="s">
        <v>12</v>
      </c>
      <c r="C494" t="s">
        <v>23</v>
      </c>
      <c r="D494">
        <v>130</v>
      </c>
      <c r="E494">
        <v>0</v>
      </c>
      <c r="F494">
        <v>0</v>
      </c>
      <c r="G494" t="s">
        <v>20</v>
      </c>
      <c r="H494">
        <v>145</v>
      </c>
      <c r="I494" t="s">
        <v>15</v>
      </c>
      <c r="J494">
        <v>3</v>
      </c>
      <c r="K494" t="s">
        <v>19</v>
      </c>
      <c r="L494">
        <v>1</v>
      </c>
    </row>
    <row r="495" spans="1:12" x14ac:dyDescent="0.3">
      <c r="A495">
        <v>51</v>
      </c>
      <c r="B495" t="s">
        <v>12</v>
      </c>
      <c r="C495" t="s">
        <v>18</v>
      </c>
      <c r="D495">
        <v>137</v>
      </c>
      <c r="E495">
        <v>339</v>
      </c>
      <c r="F495">
        <v>0</v>
      </c>
      <c r="G495" t="s">
        <v>14</v>
      </c>
      <c r="H495">
        <v>127</v>
      </c>
      <c r="I495" t="s">
        <v>22</v>
      </c>
      <c r="J495">
        <v>1.7</v>
      </c>
      <c r="K495" t="s">
        <v>19</v>
      </c>
      <c r="L495">
        <v>1</v>
      </c>
    </row>
    <row r="496" spans="1:12" x14ac:dyDescent="0.3">
      <c r="A496">
        <v>60</v>
      </c>
      <c r="B496" t="s">
        <v>12</v>
      </c>
      <c r="C496" t="s">
        <v>21</v>
      </c>
      <c r="D496">
        <v>142</v>
      </c>
      <c r="E496">
        <v>216</v>
      </c>
      <c r="F496">
        <v>0</v>
      </c>
      <c r="G496" t="s">
        <v>14</v>
      </c>
      <c r="H496">
        <v>110</v>
      </c>
      <c r="I496" t="s">
        <v>22</v>
      </c>
      <c r="J496">
        <v>2.5</v>
      </c>
      <c r="K496" t="s">
        <v>19</v>
      </c>
      <c r="L496">
        <v>1</v>
      </c>
    </row>
    <row r="497" spans="1:12" x14ac:dyDescent="0.3">
      <c r="A497">
        <v>64</v>
      </c>
      <c r="B497" t="s">
        <v>17</v>
      </c>
      <c r="C497" t="s">
        <v>21</v>
      </c>
      <c r="D497">
        <v>142</v>
      </c>
      <c r="E497">
        <v>276</v>
      </c>
      <c r="F497">
        <v>0</v>
      </c>
      <c r="G497" t="s">
        <v>14</v>
      </c>
      <c r="H497">
        <v>140</v>
      </c>
      <c r="I497" t="s">
        <v>22</v>
      </c>
      <c r="J497">
        <v>1</v>
      </c>
      <c r="K497" t="s">
        <v>19</v>
      </c>
      <c r="L497">
        <v>1</v>
      </c>
    </row>
    <row r="498" spans="1:12" x14ac:dyDescent="0.3">
      <c r="A498">
        <v>58</v>
      </c>
      <c r="B498" t="s">
        <v>12</v>
      </c>
      <c r="C498" t="s">
        <v>21</v>
      </c>
      <c r="D498">
        <v>132</v>
      </c>
      <c r="E498">
        <v>458</v>
      </c>
      <c r="F498">
        <v>1</v>
      </c>
      <c r="G498" t="s">
        <v>14</v>
      </c>
      <c r="H498">
        <v>69</v>
      </c>
      <c r="I498" t="s">
        <v>15</v>
      </c>
      <c r="J498">
        <v>1</v>
      </c>
      <c r="K498" t="s">
        <v>25</v>
      </c>
      <c r="L498">
        <v>0</v>
      </c>
    </row>
    <row r="499" spans="1:12" x14ac:dyDescent="0.3">
      <c r="A499">
        <v>61</v>
      </c>
      <c r="B499" t="s">
        <v>12</v>
      </c>
      <c r="C499" t="s">
        <v>21</v>
      </c>
      <c r="D499">
        <v>146</v>
      </c>
      <c r="E499">
        <v>241</v>
      </c>
      <c r="F499">
        <v>0</v>
      </c>
      <c r="G499" t="s">
        <v>14</v>
      </c>
      <c r="H499">
        <v>148</v>
      </c>
      <c r="I499" t="s">
        <v>22</v>
      </c>
      <c r="J499">
        <v>3</v>
      </c>
      <c r="K499" t="s">
        <v>25</v>
      </c>
      <c r="L499">
        <v>1</v>
      </c>
    </row>
    <row r="500" spans="1:12" x14ac:dyDescent="0.3">
      <c r="A500">
        <v>67</v>
      </c>
      <c r="B500" t="s">
        <v>12</v>
      </c>
      <c r="C500" t="s">
        <v>21</v>
      </c>
      <c r="D500">
        <v>160</v>
      </c>
      <c r="E500">
        <v>384</v>
      </c>
      <c r="F500">
        <v>1</v>
      </c>
      <c r="G500" t="s">
        <v>20</v>
      </c>
      <c r="H500">
        <v>130</v>
      </c>
      <c r="I500" t="s">
        <v>22</v>
      </c>
      <c r="J500">
        <v>0</v>
      </c>
      <c r="K500" t="s">
        <v>19</v>
      </c>
      <c r="L500">
        <v>1</v>
      </c>
    </row>
    <row r="501" spans="1:12" x14ac:dyDescent="0.3">
      <c r="A501">
        <v>62</v>
      </c>
      <c r="B501" t="s">
        <v>12</v>
      </c>
      <c r="C501" t="s">
        <v>21</v>
      </c>
      <c r="D501">
        <v>135</v>
      </c>
      <c r="E501">
        <v>297</v>
      </c>
      <c r="F501">
        <v>0</v>
      </c>
      <c r="G501" t="s">
        <v>14</v>
      </c>
      <c r="H501">
        <v>130</v>
      </c>
      <c r="I501" t="s">
        <v>22</v>
      </c>
      <c r="J501">
        <v>1</v>
      </c>
      <c r="K501" t="s">
        <v>19</v>
      </c>
      <c r="L501">
        <v>1</v>
      </c>
    </row>
    <row r="502" spans="1:12" x14ac:dyDescent="0.3">
      <c r="A502">
        <v>65</v>
      </c>
      <c r="B502" t="s">
        <v>12</v>
      </c>
      <c r="C502" t="s">
        <v>21</v>
      </c>
      <c r="D502">
        <v>136</v>
      </c>
      <c r="E502">
        <v>248</v>
      </c>
      <c r="F502">
        <v>0</v>
      </c>
      <c r="G502" t="s">
        <v>14</v>
      </c>
      <c r="H502">
        <v>140</v>
      </c>
      <c r="I502" t="s">
        <v>22</v>
      </c>
      <c r="J502">
        <v>4</v>
      </c>
      <c r="K502" t="s">
        <v>25</v>
      </c>
      <c r="L502">
        <v>1</v>
      </c>
    </row>
    <row r="503" spans="1:12" x14ac:dyDescent="0.3">
      <c r="A503">
        <v>63</v>
      </c>
      <c r="B503" t="s">
        <v>12</v>
      </c>
      <c r="C503" t="s">
        <v>21</v>
      </c>
      <c r="D503">
        <v>130</v>
      </c>
      <c r="E503">
        <v>308</v>
      </c>
      <c r="F503">
        <v>0</v>
      </c>
      <c r="G503" t="s">
        <v>14</v>
      </c>
      <c r="H503">
        <v>138</v>
      </c>
      <c r="I503" t="s">
        <v>22</v>
      </c>
      <c r="J503">
        <v>2</v>
      </c>
      <c r="K503" t="s">
        <v>19</v>
      </c>
      <c r="L503">
        <v>1</v>
      </c>
    </row>
    <row r="504" spans="1:12" x14ac:dyDescent="0.3">
      <c r="A504">
        <v>69</v>
      </c>
      <c r="B504" t="s">
        <v>12</v>
      </c>
      <c r="C504" t="s">
        <v>21</v>
      </c>
      <c r="D504">
        <v>140</v>
      </c>
      <c r="E504">
        <v>208</v>
      </c>
      <c r="F504">
        <v>0</v>
      </c>
      <c r="G504" t="s">
        <v>20</v>
      </c>
      <c r="H504">
        <v>140</v>
      </c>
      <c r="I504" t="s">
        <v>22</v>
      </c>
      <c r="J504">
        <v>2</v>
      </c>
      <c r="K504" t="s">
        <v>19</v>
      </c>
      <c r="L504">
        <v>1</v>
      </c>
    </row>
    <row r="505" spans="1:12" x14ac:dyDescent="0.3">
      <c r="A505">
        <v>51</v>
      </c>
      <c r="B505" t="s">
        <v>12</v>
      </c>
      <c r="C505" t="s">
        <v>21</v>
      </c>
      <c r="D505">
        <v>132</v>
      </c>
      <c r="E505">
        <v>227</v>
      </c>
      <c r="F505">
        <v>1</v>
      </c>
      <c r="G505" t="s">
        <v>20</v>
      </c>
      <c r="H505">
        <v>138</v>
      </c>
      <c r="I505" t="s">
        <v>15</v>
      </c>
      <c r="J505">
        <v>0.2</v>
      </c>
      <c r="K505" t="s">
        <v>16</v>
      </c>
      <c r="L505">
        <v>0</v>
      </c>
    </row>
    <row r="506" spans="1:12" x14ac:dyDescent="0.3">
      <c r="A506">
        <v>62</v>
      </c>
      <c r="B506" t="s">
        <v>12</v>
      </c>
      <c r="C506" t="s">
        <v>21</v>
      </c>
      <c r="D506">
        <v>158</v>
      </c>
      <c r="E506">
        <v>210</v>
      </c>
      <c r="F506">
        <v>1</v>
      </c>
      <c r="G506" t="s">
        <v>14</v>
      </c>
      <c r="H506">
        <v>112</v>
      </c>
      <c r="I506" t="s">
        <v>22</v>
      </c>
      <c r="J506">
        <v>3</v>
      </c>
      <c r="K506" t="s">
        <v>25</v>
      </c>
      <c r="L506">
        <v>1</v>
      </c>
    </row>
    <row r="507" spans="1:12" x14ac:dyDescent="0.3">
      <c r="A507">
        <v>55</v>
      </c>
      <c r="B507" t="s">
        <v>12</v>
      </c>
      <c r="C507" t="s">
        <v>18</v>
      </c>
      <c r="D507">
        <v>136</v>
      </c>
      <c r="E507">
        <v>245</v>
      </c>
      <c r="F507">
        <v>1</v>
      </c>
      <c r="G507" t="s">
        <v>20</v>
      </c>
      <c r="H507">
        <v>131</v>
      </c>
      <c r="I507" t="s">
        <v>22</v>
      </c>
      <c r="J507">
        <v>1.2</v>
      </c>
      <c r="K507" t="s">
        <v>19</v>
      </c>
      <c r="L507">
        <v>1</v>
      </c>
    </row>
    <row r="508" spans="1:12" x14ac:dyDescent="0.3">
      <c r="A508">
        <v>75</v>
      </c>
      <c r="B508" t="s">
        <v>12</v>
      </c>
      <c r="C508" t="s">
        <v>21</v>
      </c>
      <c r="D508">
        <v>136</v>
      </c>
      <c r="E508">
        <v>225</v>
      </c>
      <c r="F508">
        <v>0</v>
      </c>
      <c r="G508" t="s">
        <v>14</v>
      </c>
      <c r="H508">
        <v>112</v>
      </c>
      <c r="I508" t="s">
        <v>22</v>
      </c>
      <c r="J508">
        <v>3</v>
      </c>
      <c r="K508" t="s">
        <v>19</v>
      </c>
      <c r="L508">
        <v>1</v>
      </c>
    </row>
    <row r="509" spans="1:12" x14ac:dyDescent="0.3">
      <c r="A509">
        <v>40</v>
      </c>
      <c r="B509" t="s">
        <v>12</v>
      </c>
      <c r="C509" t="s">
        <v>18</v>
      </c>
      <c r="D509">
        <v>106</v>
      </c>
      <c r="E509">
        <v>240</v>
      </c>
      <c r="F509">
        <v>0</v>
      </c>
      <c r="G509" t="s">
        <v>14</v>
      </c>
      <c r="H509">
        <v>80</v>
      </c>
      <c r="I509" t="s">
        <v>22</v>
      </c>
      <c r="J509">
        <v>0</v>
      </c>
      <c r="K509" t="s">
        <v>16</v>
      </c>
      <c r="L509">
        <v>0</v>
      </c>
    </row>
    <row r="510" spans="1:12" x14ac:dyDescent="0.3">
      <c r="A510">
        <v>67</v>
      </c>
      <c r="B510" t="s">
        <v>12</v>
      </c>
      <c r="C510" t="s">
        <v>21</v>
      </c>
      <c r="D510">
        <v>120</v>
      </c>
      <c r="E510">
        <v>0</v>
      </c>
      <c r="F510">
        <v>1</v>
      </c>
      <c r="G510" t="s">
        <v>14</v>
      </c>
      <c r="H510">
        <v>150</v>
      </c>
      <c r="I510" t="s">
        <v>15</v>
      </c>
      <c r="J510">
        <v>1.5</v>
      </c>
      <c r="K510" t="s">
        <v>25</v>
      </c>
      <c r="L510">
        <v>1</v>
      </c>
    </row>
    <row r="511" spans="1:12" x14ac:dyDescent="0.3">
      <c r="A511">
        <v>58</v>
      </c>
      <c r="B511" t="s">
        <v>12</v>
      </c>
      <c r="C511" t="s">
        <v>21</v>
      </c>
      <c r="D511">
        <v>110</v>
      </c>
      <c r="E511">
        <v>198</v>
      </c>
      <c r="F511">
        <v>0</v>
      </c>
      <c r="G511" t="s">
        <v>14</v>
      </c>
      <c r="H511">
        <v>110</v>
      </c>
      <c r="I511" t="s">
        <v>15</v>
      </c>
      <c r="J511">
        <v>0</v>
      </c>
      <c r="K511" t="s">
        <v>19</v>
      </c>
      <c r="L511">
        <v>1</v>
      </c>
    </row>
    <row r="512" spans="1:12" x14ac:dyDescent="0.3">
      <c r="A512">
        <v>60</v>
      </c>
      <c r="B512" t="s">
        <v>12</v>
      </c>
      <c r="C512" t="s">
        <v>21</v>
      </c>
      <c r="D512">
        <v>136</v>
      </c>
      <c r="E512">
        <v>195</v>
      </c>
      <c r="F512">
        <v>0</v>
      </c>
      <c r="G512" t="s">
        <v>14</v>
      </c>
      <c r="H512">
        <v>126</v>
      </c>
      <c r="I512" t="s">
        <v>15</v>
      </c>
      <c r="J512">
        <v>0.3</v>
      </c>
      <c r="K512" t="s">
        <v>16</v>
      </c>
      <c r="L512">
        <v>0</v>
      </c>
    </row>
    <row r="513" spans="1:12" x14ac:dyDescent="0.3">
      <c r="A513">
        <v>63</v>
      </c>
      <c r="B513" t="s">
        <v>12</v>
      </c>
      <c r="C513" t="s">
        <v>21</v>
      </c>
      <c r="D513">
        <v>160</v>
      </c>
      <c r="E513">
        <v>267</v>
      </c>
      <c r="F513">
        <v>1</v>
      </c>
      <c r="G513" t="s">
        <v>20</v>
      </c>
      <c r="H513">
        <v>88</v>
      </c>
      <c r="I513" t="s">
        <v>22</v>
      </c>
      <c r="J513">
        <v>2</v>
      </c>
      <c r="K513" t="s">
        <v>19</v>
      </c>
      <c r="L513">
        <v>1</v>
      </c>
    </row>
    <row r="514" spans="1:12" x14ac:dyDescent="0.3">
      <c r="A514">
        <v>35</v>
      </c>
      <c r="B514" t="s">
        <v>12</v>
      </c>
      <c r="C514" t="s">
        <v>18</v>
      </c>
      <c r="D514">
        <v>123</v>
      </c>
      <c r="E514">
        <v>161</v>
      </c>
      <c r="F514">
        <v>0</v>
      </c>
      <c r="G514" t="s">
        <v>20</v>
      </c>
      <c r="H514">
        <v>153</v>
      </c>
      <c r="I514" t="s">
        <v>15</v>
      </c>
      <c r="J514">
        <v>-0.1</v>
      </c>
      <c r="K514" t="s">
        <v>16</v>
      </c>
      <c r="L514">
        <v>0</v>
      </c>
    </row>
    <row r="515" spans="1:12" x14ac:dyDescent="0.3">
      <c r="A515">
        <v>62</v>
      </c>
      <c r="B515" t="s">
        <v>12</v>
      </c>
      <c r="C515" t="s">
        <v>23</v>
      </c>
      <c r="D515">
        <v>112</v>
      </c>
      <c r="E515">
        <v>258</v>
      </c>
      <c r="F515">
        <v>0</v>
      </c>
      <c r="G515" t="s">
        <v>20</v>
      </c>
      <c r="H515">
        <v>150</v>
      </c>
      <c r="I515" t="s">
        <v>22</v>
      </c>
      <c r="J515">
        <v>1.3</v>
      </c>
      <c r="K515" t="s">
        <v>19</v>
      </c>
      <c r="L515">
        <v>1</v>
      </c>
    </row>
    <row r="516" spans="1:12" x14ac:dyDescent="0.3">
      <c r="A516">
        <v>43</v>
      </c>
      <c r="B516" t="s">
        <v>12</v>
      </c>
      <c r="C516" t="s">
        <v>21</v>
      </c>
      <c r="D516">
        <v>122</v>
      </c>
      <c r="E516">
        <v>0</v>
      </c>
      <c r="F516">
        <v>0</v>
      </c>
      <c r="G516" t="s">
        <v>14</v>
      </c>
      <c r="H516">
        <v>120</v>
      </c>
      <c r="I516" t="s">
        <v>15</v>
      </c>
      <c r="J516">
        <v>0.5</v>
      </c>
      <c r="K516" t="s">
        <v>16</v>
      </c>
      <c r="L516">
        <v>1</v>
      </c>
    </row>
    <row r="517" spans="1:12" x14ac:dyDescent="0.3">
      <c r="A517">
        <v>63</v>
      </c>
      <c r="B517" t="s">
        <v>12</v>
      </c>
      <c r="C517" t="s">
        <v>18</v>
      </c>
      <c r="D517">
        <v>130</v>
      </c>
      <c r="E517">
        <v>0</v>
      </c>
      <c r="F517">
        <v>1</v>
      </c>
      <c r="G517" t="s">
        <v>20</v>
      </c>
      <c r="H517">
        <v>160</v>
      </c>
      <c r="I517" t="s">
        <v>15</v>
      </c>
      <c r="J517">
        <v>3</v>
      </c>
      <c r="K517" t="s">
        <v>19</v>
      </c>
      <c r="L517">
        <v>0</v>
      </c>
    </row>
    <row r="518" spans="1:12" x14ac:dyDescent="0.3">
      <c r="A518">
        <v>68</v>
      </c>
      <c r="B518" t="s">
        <v>12</v>
      </c>
      <c r="C518" t="s">
        <v>18</v>
      </c>
      <c r="D518">
        <v>150</v>
      </c>
      <c r="E518">
        <v>195</v>
      </c>
      <c r="F518">
        <v>1</v>
      </c>
      <c r="G518" t="s">
        <v>14</v>
      </c>
      <c r="H518">
        <v>132</v>
      </c>
      <c r="I518" t="s">
        <v>15</v>
      </c>
      <c r="J518">
        <v>0</v>
      </c>
      <c r="K518" t="s">
        <v>19</v>
      </c>
      <c r="L518">
        <v>1</v>
      </c>
    </row>
    <row r="519" spans="1:12" x14ac:dyDescent="0.3">
      <c r="A519">
        <v>65</v>
      </c>
      <c r="B519" t="s">
        <v>12</v>
      </c>
      <c r="C519" t="s">
        <v>21</v>
      </c>
      <c r="D519">
        <v>150</v>
      </c>
      <c r="E519">
        <v>235</v>
      </c>
      <c r="F519">
        <v>0</v>
      </c>
      <c r="G519" t="s">
        <v>14</v>
      </c>
      <c r="H519">
        <v>120</v>
      </c>
      <c r="I519" t="s">
        <v>22</v>
      </c>
      <c r="J519">
        <v>1.5</v>
      </c>
      <c r="K519" t="s">
        <v>19</v>
      </c>
      <c r="L519">
        <v>1</v>
      </c>
    </row>
    <row r="520" spans="1:12" x14ac:dyDescent="0.3">
      <c r="A520">
        <v>48</v>
      </c>
      <c r="B520" t="s">
        <v>12</v>
      </c>
      <c r="C520" t="s">
        <v>18</v>
      </c>
      <c r="D520">
        <v>102</v>
      </c>
      <c r="E520">
        <v>0</v>
      </c>
      <c r="F520">
        <v>1</v>
      </c>
      <c r="G520" t="s">
        <v>20</v>
      </c>
      <c r="H520">
        <v>110</v>
      </c>
      <c r="I520" t="s">
        <v>22</v>
      </c>
      <c r="J520">
        <v>1</v>
      </c>
      <c r="K520" t="s">
        <v>25</v>
      </c>
      <c r="L520">
        <v>1</v>
      </c>
    </row>
    <row r="521" spans="1:12" x14ac:dyDescent="0.3">
      <c r="A521">
        <v>63</v>
      </c>
      <c r="B521" t="s">
        <v>12</v>
      </c>
      <c r="C521" t="s">
        <v>21</v>
      </c>
      <c r="D521">
        <v>96</v>
      </c>
      <c r="E521">
        <v>305</v>
      </c>
      <c r="F521">
        <v>0</v>
      </c>
      <c r="G521" t="s">
        <v>20</v>
      </c>
      <c r="H521">
        <v>121</v>
      </c>
      <c r="I521" t="s">
        <v>22</v>
      </c>
      <c r="J521">
        <v>1</v>
      </c>
      <c r="K521" t="s">
        <v>16</v>
      </c>
      <c r="L521">
        <v>1</v>
      </c>
    </row>
    <row r="522" spans="1:12" x14ac:dyDescent="0.3">
      <c r="A522">
        <v>64</v>
      </c>
      <c r="B522" t="s">
        <v>12</v>
      </c>
      <c r="C522" t="s">
        <v>21</v>
      </c>
      <c r="D522">
        <v>130</v>
      </c>
      <c r="E522">
        <v>223</v>
      </c>
      <c r="F522">
        <v>0</v>
      </c>
      <c r="G522" t="s">
        <v>20</v>
      </c>
      <c r="H522">
        <v>128</v>
      </c>
      <c r="I522" t="s">
        <v>15</v>
      </c>
      <c r="J522">
        <v>0.5</v>
      </c>
      <c r="K522" t="s">
        <v>19</v>
      </c>
      <c r="L522">
        <v>0</v>
      </c>
    </row>
    <row r="523" spans="1:12" x14ac:dyDescent="0.3">
      <c r="A523">
        <v>61</v>
      </c>
      <c r="B523" t="s">
        <v>12</v>
      </c>
      <c r="C523" t="s">
        <v>21</v>
      </c>
      <c r="D523">
        <v>120</v>
      </c>
      <c r="E523">
        <v>282</v>
      </c>
      <c r="F523">
        <v>0</v>
      </c>
      <c r="G523" t="s">
        <v>20</v>
      </c>
      <c r="H523">
        <v>135</v>
      </c>
      <c r="I523" t="s">
        <v>22</v>
      </c>
      <c r="J523">
        <v>4</v>
      </c>
      <c r="K523" t="s">
        <v>25</v>
      </c>
      <c r="L523">
        <v>1</v>
      </c>
    </row>
    <row r="524" spans="1:12" x14ac:dyDescent="0.3">
      <c r="A524">
        <v>50</v>
      </c>
      <c r="B524" t="s">
        <v>12</v>
      </c>
      <c r="C524" t="s">
        <v>21</v>
      </c>
      <c r="D524">
        <v>144</v>
      </c>
      <c r="E524">
        <v>349</v>
      </c>
      <c r="F524">
        <v>0</v>
      </c>
      <c r="G524" t="s">
        <v>24</v>
      </c>
      <c r="H524">
        <v>120</v>
      </c>
      <c r="I524" t="s">
        <v>22</v>
      </c>
      <c r="J524">
        <v>1</v>
      </c>
      <c r="K524" t="s">
        <v>16</v>
      </c>
      <c r="L524">
        <v>1</v>
      </c>
    </row>
    <row r="525" spans="1:12" x14ac:dyDescent="0.3">
      <c r="A525">
        <v>59</v>
      </c>
      <c r="B525" t="s">
        <v>12</v>
      </c>
      <c r="C525" t="s">
        <v>21</v>
      </c>
      <c r="D525">
        <v>124</v>
      </c>
      <c r="E525">
        <v>160</v>
      </c>
      <c r="F525">
        <v>0</v>
      </c>
      <c r="G525" t="s">
        <v>14</v>
      </c>
      <c r="H525">
        <v>117</v>
      </c>
      <c r="I525" t="s">
        <v>22</v>
      </c>
      <c r="J525">
        <v>1</v>
      </c>
      <c r="K525" t="s">
        <v>19</v>
      </c>
      <c r="L525">
        <v>1</v>
      </c>
    </row>
    <row r="526" spans="1:12" x14ac:dyDescent="0.3">
      <c r="A526">
        <v>55</v>
      </c>
      <c r="B526" t="s">
        <v>12</v>
      </c>
      <c r="C526" t="s">
        <v>21</v>
      </c>
      <c r="D526">
        <v>150</v>
      </c>
      <c r="E526">
        <v>160</v>
      </c>
      <c r="F526">
        <v>0</v>
      </c>
      <c r="G526" t="s">
        <v>20</v>
      </c>
      <c r="H526">
        <v>150</v>
      </c>
      <c r="I526" t="s">
        <v>15</v>
      </c>
      <c r="J526">
        <v>0</v>
      </c>
      <c r="K526" t="s">
        <v>16</v>
      </c>
      <c r="L526">
        <v>0</v>
      </c>
    </row>
    <row r="527" spans="1:12" x14ac:dyDescent="0.3">
      <c r="A527">
        <v>45</v>
      </c>
      <c r="B527" t="s">
        <v>12</v>
      </c>
      <c r="C527" t="s">
        <v>18</v>
      </c>
      <c r="D527">
        <v>130</v>
      </c>
      <c r="E527">
        <v>236</v>
      </c>
      <c r="F527">
        <v>0</v>
      </c>
      <c r="G527" t="s">
        <v>14</v>
      </c>
      <c r="H527">
        <v>144</v>
      </c>
      <c r="I527" t="s">
        <v>15</v>
      </c>
      <c r="J527">
        <v>0.1</v>
      </c>
      <c r="K527" t="s">
        <v>16</v>
      </c>
      <c r="L527">
        <v>0</v>
      </c>
    </row>
    <row r="528" spans="1:12" x14ac:dyDescent="0.3">
      <c r="A528">
        <v>65</v>
      </c>
      <c r="B528" t="s">
        <v>12</v>
      </c>
      <c r="C528" t="s">
        <v>21</v>
      </c>
      <c r="D528">
        <v>144</v>
      </c>
      <c r="E528">
        <v>312</v>
      </c>
      <c r="F528">
        <v>0</v>
      </c>
      <c r="G528" t="s">
        <v>24</v>
      </c>
      <c r="H528">
        <v>113</v>
      </c>
      <c r="I528" t="s">
        <v>22</v>
      </c>
      <c r="J528">
        <v>1.7</v>
      </c>
      <c r="K528" t="s">
        <v>19</v>
      </c>
      <c r="L528">
        <v>1</v>
      </c>
    </row>
    <row r="529" spans="1:12" x14ac:dyDescent="0.3">
      <c r="A529">
        <v>61</v>
      </c>
      <c r="B529" t="s">
        <v>12</v>
      </c>
      <c r="C529" t="s">
        <v>13</v>
      </c>
      <c r="D529">
        <v>139</v>
      </c>
      <c r="E529">
        <v>283</v>
      </c>
      <c r="F529">
        <v>0</v>
      </c>
      <c r="G529" t="s">
        <v>14</v>
      </c>
      <c r="H529">
        <v>135</v>
      </c>
      <c r="I529" t="s">
        <v>15</v>
      </c>
      <c r="J529">
        <v>0.3</v>
      </c>
      <c r="K529" t="s">
        <v>16</v>
      </c>
      <c r="L529">
        <v>0</v>
      </c>
    </row>
    <row r="530" spans="1:12" x14ac:dyDescent="0.3">
      <c r="A530">
        <v>49</v>
      </c>
      <c r="B530" t="s">
        <v>12</v>
      </c>
      <c r="C530" t="s">
        <v>18</v>
      </c>
      <c r="D530">
        <v>131</v>
      </c>
      <c r="E530">
        <v>142</v>
      </c>
      <c r="F530">
        <v>0</v>
      </c>
      <c r="G530" t="s">
        <v>14</v>
      </c>
      <c r="H530">
        <v>127</v>
      </c>
      <c r="I530" t="s">
        <v>22</v>
      </c>
      <c r="J530">
        <v>1.5</v>
      </c>
      <c r="K530" t="s">
        <v>19</v>
      </c>
      <c r="L530">
        <v>1</v>
      </c>
    </row>
    <row r="531" spans="1:12" x14ac:dyDescent="0.3">
      <c r="A531">
        <v>72</v>
      </c>
      <c r="B531" t="s">
        <v>12</v>
      </c>
      <c r="C531" t="s">
        <v>21</v>
      </c>
      <c r="D531">
        <v>143</v>
      </c>
      <c r="E531">
        <v>211</v>
      </c>
      <c r="F531">
        <v>0</v>
      </c>
      <c r="G531" t="s">
        <v>14</v>
      </c>
      <c r="H531">
        <v>109</v>
      </c>
      <c r="I531" t="s">
        <v>22</v>
      </c>
      <c r="J531">
        <v>1.4</v>
      </c>
      <c r="K531" t="s">
        <v>19</v>
      </c>
      <c r="L531">
        <v>1</v>
      </c>
    </row>
    <row r="532" spans="1:12" x14ac:dyDescent="0.3">
      <c r="A532">
        <v>50</v>
      </c>
      <c r="B532" t="s">
        <v>12</v>
      </c>
      <c r="C532" t="s">
        <v>21</v>
      </c>
      <c r="D532">
        <v>133</v>
      </c>
      <c r="E532">
        <v>218</v>
      </c>
      <c r="F532">
        <v>0</v>
      </c>
      <c r="G532" t="s">
        <v>14</v>
      </c>
      <c r="H532">
        <v>128</v>
      </c>
      <c r="I532" t="s">
        <v>22</v>
      </c>
      <c r="J532">
        <v>1.1000000000000001</v>
      </c>
      <c r="K532" t="s">
        <v>19</v>
      </c>
      <c r="L532">
        <v>1</v>
      </c>
    </row>
    <row r="533" spans="1:12" x14ac:dyDescent="0.3">
      <c r="A533">
        <v>64</v>
      </c>
      <c r="B533" t="s">
        <v>12</v>
      </c>
      <c r="C533" t="s">
        <v>21</v>
      </c>
      <c r="D533">
        <v>143</v>
      </c>
      <c r="E533">
        <v>306</v>
      </c>
      <c r="F533">
        <v>1</v>
      </c>
      <c r="G533" t="s">
        <v>20</v>
      </c>
      <c r="H533">
        <v>115</v>
      </c>
      <c r="I533" t="s">
        <v>22</v>
      </c>
      <c r="J533">
        <v>1.8</v>
      </c>
      <c r="K533" t="s">
        <v>19</v>
      </c>
      <c r="L533">
        <v>1</v>
      </c>
    </row>
    <row r="534" spans="1:12" x14ac:dyDescent="0.3">
      <c r="A534">
        <v>55</v>
      </c>
      <c r="B534" t="s">
        <v>12</v>
      </c>
      <c r="C534" t="s">
        <v>21</v>
      </c>
      <c r="D534">
        <v>116</v>
      </c>
      <c r="E534">
        <v>186</v>
      </c>
      <c r="F534">
        <v>1</v>
      </c>
      <c r="G534" t="s">
        <v>20</v>
      </c>
      <c r="H534">
        <v>102</v>
      </c>
      <c r="I534" t="s">
        <v>15</v>
      </c>
      <c r="J534">
        <v>0</v>
      </c>
      <c r="K534" t="s">
        <v>19</v>
      </c>
      <c r="L534">
        <v>1</v>
      </c>
    </row>
    <row r="535" spans="1:12" x14ac:dyDescent="0.3">
      <c r="A535">
        <v>63</v>
      </c>
      <c r="B535" t="s">
        <v>12</v>
      </c>
      <c r="C535" t="s">
        <v>21</v>
      </c>
      <c r="D535">
        <v>110</v>
      </c>
      <c r="E535">
        <v>252</v>
      </c>
      <c r="F535">
        <v>0</v>
      </c>
      <c r="G535" t="s">
        <v>20</v>
      </c>
      <c r="H535">
        <v>140</v>
      </c>
      <c r="I535" t="s">
        <v>22</v>
      </c>
      <c r="J535">
        <v>2</v>
      </c>
      <c r="K535" t="s">
        <v>19</v>
      </c>
      <c r="L535">
        <v>1</v>
      </c>
    </row>
    <row r="536" spans="1:12" x14ac:dyDescent="0.3">
      <c r="A536">
        <v>59</v>
      </c>
      <c r="B536" t="s">
        <v>12</v>
      </c>
      <c r="C536" t="s">
        <v>21</v>
      </c>
      <c r="D536">
        <v>125</v>
      </c>
      <c r="E536">
        <v>222</v>
      </c>
      <c r="F536">
        <v>0</v>
      </c>
      <c r="G536" t="s">
        <v>14</v>
      </c>
      <c r="H536">
        <v>135</v>
      </c>
      <c r="I536" t="s">
        <v>22</v>
      </c>
      <c r="J536">
        <v>2.5</v>
      </c>
      <c r="K536" t="s">
        <v>25</v>
      </c>
      <c r="L536">
        <v>1</v>
      </c>
    </row>
    <row r="537" spans="1:12" x14ac:dyDescent="0.3">
      <c r="A537">
        <v>56</v>
      </c>
      <c r="B537" t="s">
        <v>12</v>
      </c>
      <c r="C537" t="s">
        <v>21</v>
      </c>
      <c r="D537">
        <v>130</v>
      </c>
      <c r="E537">
        <v>0</v>
      </c>
      <c r="F537">
        <v>0</v>
      </c>
      <c r="G537" t="s">
        <v>24</v>
      </c>
      <c r="H537">
        <v>122</v>
      </c>
      <c r="I537" t="s">
        <v>22</v>
      </c>
      <c r="J537">
        <v>1</v>
      </c>
      <c r="K537" t="s">
        <v>19</v>
      </c>
      <c r="L537">
        <v>1</v>
      </c>
    </row>
    <row r="538" spans="1:12" x14ac:dyDescent="0.3">
      <c r="A538">
        <v>62</v>
      </c>
      <c r="B538" t="s">
        <v>12</v>
      </c>
      <c r="C538" t="s">
        <v>18</v>
      </c>
      <c r="D538">
        <v>133</v>
      </c>
      <c r="E538">
        <v>0</v>
      </c>
      <c r="F538">
        <v>1</v>
      </c>
      <c r="G538" t="s">
        <v>20</v>
      </c>
      <c r="H538">
        <v>119</v>
      </c>
      <c r="I538" t="s">
        <v>22</v>
      </c>
      <c r="J538">
        <v>1.2</v>
      </c>
      <c r="K538" t="s">
        <v>19</v>
      </c>
      <c r="L538">
        <v>1</v>
      </c>
    </row>
    <row r="539" spans="1:12" x14ac:dyDescent="0.3">
      <c r="A539">
        <v>74</v>
      </c>
      <c r="B539" t="s">
        <v>12</v>
      </c>
      <c r="C539" t="s">
        <v>21</v>
      </c>
      <c r="D539">
        <v>150</v>
      </c>
      <c r="E539">
        <v>258</v>
      </c>
      <c r="F539">
        <v>1</v>
      </c>
      <c r="G539" t="s">
        <v>20</v>
      </c>
      <c r="H539">
        <v>130</v>
      </c>
      <c r="I539" t="s">
        <v>22</v>
      </c>
      <c r="J539">
        <v>4</v>
      </c>
      <c r="K539" t="s">
        <v>25</v>
      </c>
      <c r="L539">
        <v>1</v>
      </c>
    </row>
    <row r="540" spans="1:12" x14ac:dyDescent="0.3">
      <c r="A540">
        <v>54</v>
      </c>
      <c r="B540" t="s">
        <v>12</v>
      </c>
      <c r="C540" t="s">
        <v>21</v>
      </c>
      <c r="D540">
        <v>130</v>
      </c>
      <c r="E540">
        <v>202</v>
      </c>
      <c r="F540">
        <v>1</v>
      </c>
      <c r="G540" t="s">
        <v>14</v>
      </c>
      <c r="H540">
        <v>112</v>
      </c>
      <c r="I540" t="s">
        <v>22</v>
      </c>
      <c r="J540">
        <v>2</v>
      </c>
      <c r="K540" t="s">
        <v>19</v>
      </c>
      <c r="L540">
        <v>1</v>
      </c>
    </row>
    <row r="541" spans="1:12" x14ac:dyDescent="0.3">
      <c r="A541">
        <v>57</v>
      </c>
      <c r="B541" t="s">
        <v>12</v>
      </c>
      <c r="C541" t="s">
        <v>21</v>
      </c>
      <c r="D541">
        <v>110</v>
      </c>
      <c r="E541">
        <v>197</v>
      </c>
      <c r="F541">
        <v>0</v>
      </c>
      <c r="G541" t="s">
        <v>24</v>
      </c>
      <c r="H541">
        <v>100</v>
      </c>
      <c r="I541" t="s">
        <v>15</v>
      </c>
      <c r="J541">
        <v>0</v>
      </c>
      <c r="K541" t="s">
        <v>16</v>
      </c>
      <c r="L541">
        <v>0</v>
      </c>
    </row>
    <row r="542" spans="1:12" x14ac:dyDescent="0.3">
      <c r="A542">
        <v>62</v>
      </c>
      <c r="B542" t="s">
        <v>12</v>
      </c>
      <c r="C542" t="s">
        <v>18</v>
      </c>
      <c r="D542">
        <v>138</v>
      </c>
      <c r="E542">
        <v>204</v>
      </c>
      <c r="F542">
        <v>0</v>
      </c>
      <c r="G542" t="s">
        <v>20</v>
      </c>
      <c r="H542">
        <v>122</v>
      </c>
      <c r="I542" t="s">
        <v>22</v>
      </c>
      <c r="J542">
        <v>1.2</v>
      </c>
      <c r="K542" t="s">
        <v>19</v>
      </c>
      <c r="L542">
        <v>1</v>
      </c>
    </row>
    <row r="543" spans="1:12" x14ac:dyDescent="0.3">
      <c r="A543">
        <v>76</v>
      </c>
      <c r="B543" t="s">
        <v>12</v>
      </c>
      <c r="C543" t="s">
        <v>18</v>
      </c>
      <c r="D543">
        <v>104</v>
      </c>
      <c r="E543">
        <v>113</v>
      </c>
      <c r="F543">
        <v>0</v>
      </c>
      <c r="G543" t="s">
        <v>24</v>
      </c>
      <c r="H543">
        <v>120</v>
      </c>
      <c r="I543" t="s">
        <v>15</v>
      </c>
      <c r="J543">
        <v>3.5</v>
      </c>
      <c r="K543" t="s">
        <v>25</v>
      </c>
      <c r="L543">
        <v>1</v>
      </c>
    </row>
    <row r="544" spans="1:12" x14ac:dyDescent="0.3">
      <c r="A544">
        <v>54</v>
      </c>
      <c r="B544" t="s">
        <v>17</v>
      </c>
      <c r="C544" t="s">
        <v>21</v>
      </c>
      <c r="D544">
        <v>138</v>
      </c>
      <c r="E544">
        <v>274</v>
      </c>
      <c r="F544">
        <v>0</v>
      </c>
      <c r="G544" t="s">
        <v>14</v>
      </c>
      <c r="H544">
        <v>105</v>
      </c>
      <c r="I544" t="s">
        <v>22</v>
      </c>
      <c r="J544">
        <v>1.5</v>
      </c>
      <c r="K544" t="s">
        <v>19</v>
      </c>
      <c r="L544">
        <v>1</v>
      </c>
    </row>
    <row r="545" spans="1:12" x14ac:dyDescent="0.3">
      <c r="A545">
        <v>70</v>
      </c>
      <c r="B545" t="s">
        <v>12</v>
      </c>
      <c r="C545" t="s">
        <v>21</v>
      </c>
      <c r="D545">
        <v>170</v>
      </c>
      <c r="E545">
        <v>192</v>
      </c>
      <c r="F545">
        <v>0</v>
      </c>
      <c r="G545" t="s">
        <v>20</v>
      </c>
      <c r="H545">
        <v>129</v>
      </c>
      <c r="I545" t="s">
        <v>22</v>
      </c>
      <c r="J545">
        <v>3</v>
      </c>
      <c r="K545" t="s">
        <v>25</v>
      </c>
      <c r="L545">
        <v>1</v>
      </c>
    </row>
    <row r="546" spans="1:12" x14ac:dyDescent="0.3">
      <c r="A546">
        <v>61</v>
      </c>
      <c r="B546" t="s">
        <v>17</v>
      </c>
      <c r="C546" t="s">
        <v>13</v>
      </c>
      <c r="D546">
        <v>140</v>
      </c>
      <c r="E546">
        <v>298</v>
      </c>
      <c r="F546">
        <v>1</v>
      </c>
      <c r="G546" t="s">
        <v>14</v>
      </c>
      <c r="H546">
        <v>120</v>
      </c>
      <c r="I546" t="s">
        <v>22</v>
      </c>
      <c r="J546">
        <v>0</v>
      </c>
      <c r="K546" t="s">
        <v>16</v>
      </c>
      <c r="L546">
        <v>0</v>
      </c>
    </row>
    <row r="547" spans="1:12" x14ac:dyDescent="0.3">
      <c r="A547">
        <v>48</v>
      </c>
      <c r="B547" t="s">
        <v>12</v>
      </c>
      <c r="C547" t="s">
        <v>21</v>
      </c>
      <c r="D547">
        <v>132</v>
      </c>
      <c r="E547">
        <v>272</v>
      </c>
      <c r="F547">
        <v>0</v>
      </c>
      <c r="G547" t="s">
        <v>20</v>
      </c>
      <c r="H547">
        <v>139</v>
      </c>
      <c r="I547" t="s">
        <v>15</v>
      </c>
      <c r="J547">
        <v>0.2</v>
      </c>
      <c r="K547" t="s">
        <v>16</v>
      </c>
      <c r="L547">
        <v>0</v>
      </c>
    </row>
    <row r="548" spans="1:12" x14ac:dyDescent="0.3">
      <c r="A548">
        <v>48</v>
      </c>
      <c r="B548" t="s">
        <v>12</v>
      </c>
      <c r="C548" t="s">
        <v>18</v>
      </c>
      <c r="D548">
        <v>132</v>
      </c>
      <c r="E548">
        <v>220</v>
      </c>
      <c r="F548">
        <v>1</v>
      </c>
      <c r="G548" t="s">
        <v>20</v>
      </c>
      <c r="H548">
        <v>162</v>
      </c>
      <c r="I548" t="s">
        <v>15</v>
      </c>
      <c r="J548">
        <v>0</v>
      </c>
      <c r="K548" t="s">
        <v>19</v>
      </c>
      <c r="L548">
        <v>1</v>
      </c>
    </row>
    <row r="549" spans="1:12" x14ac:dyDescent="0.3">
      <c r="A549">
        <v>61</v>
      </c>
      <c r="B549" t="s">
        <v>12</v>
      </c>
      <c r="C549" t="s">
        <v>23</v>
      </c>
      <c r="D549">
        <v>142</v>
      </c>
      <c r="E549">
        <v>200</v>
      </c>
      <c r="F549">
        <v>1</v>
      </c>
      <c r="G549" t="s">
        <v>20</v>
      </c>
      <c r="H549">
        <v>100</v>
      </c>
      <c r="I549" t="s">
        <v>15</v>
      </c>
      <c r="J549">
        <v>1.5</v>
      </c>
      <c r="K549" t="s">
        <v>25</v>
      </c>
      <c r="L549">
        <v>1</v>
      </c>
    </row>
    <row r="550" spans="1:12" x14ac:dyDescent="0.3">
      <c r="A550">
        <v>66</v>
      </c>
      <c r="B550" t="s">
        <v>12</v>
      </c>
      <c r="C550" t="s">
        <v>21</v>
      </c>
      <c r="D550">
        <v>112</v>
      </c>
      <c r="E550">
        <v>261</v>
      </c>
      <c r="F550">
        <v>0</v>
      </c>
      <c r="G550" t="s">
        <v>14</v>
      </c>
      <c r="H550">
        <v>140</v>
      </c>
      <c r="I550" t="s">
        <v>15</v>
      </c>
      <c r="J550">
        <v>1.5</v>
      </c>
      <c r="K550" t="s">
        <v>16</v>
      </c>
      <c r="L550">
        <v>1</v>
      </c>
    </row>
    <row r="551" spans="1:12" x14ac:dyDescent="0.3">
      <c r="A551">
        <v>68</v>
      </c>
      <c r="B551" t="s">
        <v>12</v>
      </c>
      <c r="C551" t="s">
        <v>23</v>
      </c>
      <c r="D551">
        <v>139</v>
      </c>
      <c r="E551">
        <v>181</v>
      </c>
      <c r="F551">
        <v>1</v>
      </c>
      <c r="G551" t="s">
        <v>20</v>
      </c>
      <c r="H551">
        <v>135</v>
      </c>
      <c r="I551" t="s">
        <v>15</v>
      </c>
      <c r="J551">
        <v>0.2</v>
      </c>
      <c r="K551" t="s">
        <v>16</v>
      </c>
      <c r="L551">
        <v>0</v>
      </c>
    </row>
    <row r="552" spans="1:12" x14ac:dyDescent="0.3">
      <c r="A552">
        <v>55</v>
      </c>
      <c r="B552" t="s">
        <v>12</v>
      </c>
      <c r="C552" t="s">
        <v>21</v>
      </c>
      <c r="D552">
        <v>172</v>
      </c>
      <c r="E552">
        <v>260</v>
      </c>
      <c r="F552">
        <v>0</v>
      </c>
      <c r="G552" t="s">
        <v>14</v>
      </c>
      <c r="H552">
        <v>73</v>
      </c>
      <c r="I552" t="s">
        <v>15</v>
      </c>
      <c r="J552">
        <v>2</v>
      </c>
      <c r="K552" t="s">
        <v>19</v>
      </c>
      <c r="L552">
        <v>1</v>
      </c>
    </row>
    <row r="553" spans="1:12" x14ac:dyDescent="0.3">
      <c r="A553">
        <v>62</v>
      </c>
      <c r="B553" t="s">
        <v>12</v>
      </c>
      <c r="C553" t="s">
        <v>18</v>
      </c>
      <c r="D553">
        <v>120</v>
      </c>
      <c r="E553">
        <v>220</v>
      </c>
      <c r="F553">
        <v>0</v>
      </c>
      <c r="G553" t="s">
        <v>24</v>
      </c>
      <c r="H553">
        <v>86</v>
      </c>
      <c r="I553" t="s">
        <v>15</v>
      </c>
      <c r="J553">
        <v>0</v>
      </c>
      <c r="K553" t="s">
        <v>16</v>
      </c>
      <c r="L553">
        <v>0</v>
      </c>
    </row>
    <row r="554" spans="1:12" x14ac:dyDescent="0.3">
      <c r="A554">
        <v>71</v>
      </c>
      <c r="B554" t="s">
        <v>12</v>
      </c>
      <c r="C554" t="s">
        <v>18</v>
      </c>
      <c r="D554">
        <v>144</v>
      </c>
      <c r="E554">
        <v>221</v>
      </c>
      <c r="F554">
        <v>0</v>
      </c>
      <c r="G554" t="s">
        <v>14</v>
      </c>
      <c r="H554">
        <v>108</v>
      </c>
      <c r="I554" t="s">
        <v>22</v>
      </c>
      <c r="J554">
        <v>1.8</v>
      </c>
      <c r="K554" t="s">
        <v>19</v>
      </c>
      <c r="L554">
        <v>1</v>
      </c>
    </row>
    <row r="555" spans="1:12" x14ac:dyDescent="0.3">
      <c r="A555">
        <v>74</v>
      </c>
      <c r="B555" t="s">
        <v>12</v>
      </c>
      <c r="C555" t="s">
        <v>23</v>
      </c>
      <c r="D555">
        <v>145</v>
      </c>
      <c r="E555">
        <v>216</v>
      </c>
      <c r="F555">
        <v>1</v>
      </c>
      <c r="G555" t="s">
        <v>14</v>
      </c>
      <c r="H555">
        <v>116</v>
      </c>
      <c r="I555" t="s">
        <v>22</v>
      </c>
      <c r="J555">
        <v>1.8</v>
      </c>
      <c r="K555" t="s">
        <v>19</v>
      </c>
      <c r="L555">
        <v>1</v>
      </c>
    </row>
    <row r="556" spans="1:12" x14ac:dyDescent="0.3">
      <c r="A556">
        <v>53</v>
      </c>
      <c r="B556" t="s">
        <v>12</v>
      </c>
      <c r="C556" t="s">
        <v>18</v>
      </c>
      <c r="D556">
        <v>155</v>
      </c>
      <c r="E556">
        <v>175</v>
      </c>
      <c r="F556">
        <v>1</v>
      </c>
      <c r="G556" t="s">
        <v>20</v>
      </c>
      <c r="H556">
        <v>160</v>
      </c>
      <c r="I556" t="s">
        <v>15</v>
      </c>
      <c r="J556">
        <v>0.3</v>
      </c>
      <c r="K556" t="s">
        <v>16</v>
      </c>
      <c r="L556">
        <v>0</v>
      </c>
    </row>
    <row r="557" spans="1:12" x14ac:dyDescent="0.3">
      <c r="A557">
        <v>58</v>
      </c>
      <c r="B557" t="s">
        <v>12</v>
      </c>
      <c r="C557" t="s">
        <v>18</v>
      </c>
      <c r="D557">
        <v>150</v>
      </c>
      <c r="E557">
        <v>219</v>
      </c>
      <c r="F557">
        <v>0</v>
      </c>
      <c r="G557" t="s">
        <v>20</v>
      </c>
      <c r="H557">
        <v>118</v>
      </c>
      <c r="I557" t="s">
        <v>22</v>
      </c>
      <c r="J557">
        <v>0</v>
      </c>
      <c r="K557" t="s">
        <v>19</v>
      </c>
      <c r="L557">
        <v>1</v>
      </c>
    </row>
    <row r="558" spans="1:12" x14ac:dyDescent="0.3">
      <c r="A558">
        <v>75</v>
      </c>
      <c r="B558" t="s">
        <v>12</v>
      </c>
      <c r="C558" t="s">
        <v>21</v>
      </c>
      <c r="D558">
        <v>160</v>
      </c>
      <c r="E558">
        <v>310</v>
      </c>
      <c r="F558">
        <v>1</v>
      </c>
      <c r="G558" t="s">
        <v>14</v>
      </c>
      <c r="H558">
        <v>112</v>
      </c>
      <c r="I558" t="s">
        <v>22</v>
      </c>
      <c r="J558">
        <v>2</v>
      </c>
      <c r="K558" t="s">
        <v>25</v>
      </c>
      <c r="L558">
        <v>0</v>
      </c>
    </row>
    <row r="559" spans="1:12" x14ac:dyDescent="0.3">
      <c r="A559">
        <v>56</v>
      </c>
      <c r="B559" t="s">
        <v>12</v>
      </c>
      <c r="C559" t="s">
        <v>18</v>
      </c>
      <c r="D559">
        <v>137</v>
      </c>
      <c r="E559">
        <v>208</v>
      </c>
      <c r="F559">
        <v>1</v>
      </c>
      <c r="G559" t="s">
        <v>20</v>
      </c>
      <c r="H559">
        <v>122</v>
      </c>
      <c r="I559" t="s">
        <v>22</v>
      </c>
      <c r="J559">
        <v>1.8</v>
      </c>
      <c r="K559" t="s">
        <v>19</v>
      </c>
      <c r="L559">
        <v>1</v>
      </c>
    </row>
    <row r="560" spans="1:12" x14ac:dyDescent="0.3">
      <c r="A560">
        <v>58</v>
      </c>
      <c r="B560" t="s">
        <v>12</v>
      </c>
      <c r="C560" t="s">
        <v>18</v>
      </c>
      <c r="D560">
        <v>137</v>
      </c>
      <c r="E560">
        <v>232</v>
      </c>
      <c r="F560">
        <v>0</v>
      </c>
      <c r="G560" t="s">
        <v>20</v>
      </c>
      <c r="H560">
        <v>124</v>
      </c>
      <c r="I560" t="s">
        <v>22</v>
      </c>
      <c r="J560">
        <v>1.4</v>
      </c>
      <c r="K560" t="s">
        <v>19</v>
      </c>
      <c r="L560">
        <v>1</v>
      </c>
    </row>
    <row r="561" spans="1:12" x14ac:dyDescent="0.3">
      <c r="A561">
        <v>64</v>
      </c>
      <c r="B561" t="s">
        <v>12</v>
      </c>
      <c r="C561" t="s">
        <v>21</v>
      </c>
      <c r="D561">
        <v>134</v>
      </c>
      <c r="E561">
        <v>273</v>
      </c>
      <c r="F561">
        <v>0</v>
      </c>
      <c r="G561" t="s">
        <v>14</v>
      </c>
      <c r="H561">
        <v>102</v>
      </c>
      <c r="I561" t="s">
        <v>22</v>
      </c>
      <c r="J561">
        <v>4</v>
      </c>
      <c r="K561" t="s">
        <v>25</v>
      </c>
      <c r="L561">
        <v>1</v>
      </c>
    </row>
    <row r="562" spans="1:12" x14ac:dyDescent="0.3">
      <c r="A562">
        <v>54</v>
      </c>
      <c r="B562" t="s">
        <v>12</v>
      </c>
      <c r="C562" t="s">
        <v>18</v>
      </c>
      <c r="D562">
        <v>133</v>
      </c>
      <c r="E562">
        <v>203</v>
      </c>
      <c r="F562">
        <v>0</v>
      </c>
      <c r="G562" t="s">
        <v>20</v>
      </c>
      <c r="H562">
        <v>137</v>
      </c>
      <c r="I562" t="s">
        <v>15</v>
      </c>
      <c r="J562">
        <v>0.2</v>
      </c>
      <c r="K562" t="s">
        <v>16</v>
      </c>
      <c r="L562">
        <v>0</v>
      </c>
    </row>
    <row r="563" spans="1:12" x14ac:dyDescent="0.3">
      <c r="A563">
        <v>54</v>
      </c>
      <c r="B563" t="s">
        <v>12</v>
      </c>
      <c r="C563" t="s">
        <v>13</v>
      </c>
      <c r="D563">
        <v>132</v>
      </c>
      <c r="E563">
        <v>182</v>
      </c>
      <c r="F563">
        <v>0</v>
      </c>
      <c r="G563" t="s">
        <v>20</v>
      </c>
      <c r="H563">
        <v>141</v>
      </c>
      <c r="I563" t="s">
        <v>15</v>
      </c>
      <c r="J563">
        <v>0.1</v>
      </c>
      <c r="K563" t="s">
        <v>16</v>
      </c>
      <c r="L563">
        <v>0</v>
      </c>
    </row>
    <row r="564" spans="1:12" x14ac:dyDescent="0.3">
      <c r="A564">
        <v>59</v>
      </c>
      <c r="B564" t="s">
        <v>12</v>
      </c>
      <c r="C564" t="s">
        <v>21</v>
      </c>
      <c r="D564">
        <v>140</v>
      </c>
      <c r="E564">
        <v>274</v>
      </c>
      <c r="F564">
        <v>0</v>
      </c>
      <c r="G564" t="s">
        <v>14</v>
      </c>
      <c r="H564">
        <v>154</v>
      </c>
      <c r="I564" t="s">
        <v>22</v>
      </c>
      <c r="J564">
        <v>2</v>
      </c>
      <c r="K564" t="s">
        <v>19</v>
      </c>
      <c r="L564">
        <v>0</v>
      </c>
    </row>
    <row r="565" spans="1:12" x14ac:dyDescent="0.3">
      <c r="A565">
        <v>55</v>
      </c>
      <c r="B565" t="s">
        <v>12</v>
      </c>
      <c r="C565" t="s">
        <v>21</v>
      </c>
      <c r="D565">
        <v>135</v>
      </c>
      <c r="E565">
        <v>204</v>
      </c>
      <c r="F565">
        <v>1</v>
      </c>
      <c r="G565" t="s">
        <v>20</v>
      </c>
      <c r="H565">
        <v>126</v>
      </c>
      <c r="I565" t="s">
        <v>22</v>
      </c>
      <c r="J565">
        <v>1.1000000000000001</v>
      </c>
      <c r="K565" t="s">
        <v>19</v>
      </c>
      <c r="L565">
        <v>1</v>
      </c>
    </row>
    <row r="566" spans="1:12" x14ac:dyDescent="0.3">
      <c r="A566">
        <v>57</v>
      </c>
      <c r="B566" t="s">
        <v>12</v>
      </c>
      <c r="C566" t="s">
        <v>21</v>
      </c>
      <c r="D566">
        <v>144</v>
      </c>
      <c r="E566">
        <v>270</v>
      </c>
      <c r="F566">
        <v>1</v>
      </c>
      <c r="G566" t="s">
        <v>20</v>
      </c>
      <c r="H566">
        <v>160</v>
      </c>
      <c r="I566" t="s">
        <v>22</v>
      </c>
      <c r="J566">
        <v>2</v>
      </c>
      <c r="K566" t="s">
        <v>19</v>
      </c>
      <c r="L566">
        <v>1</v>
      </c>
    </row>
    <row r="567" spans="1:12" x14ac:dyDescent="0.3">
      <c r="A567">
        <v>61</v>
      </c>
      <c r="B567" t="s">
        <v>12</v>
      </c>
      <c r="C567" t="s">
        <v>21</v>
      </c>
      <c r="D567">
        <v>141</v>
      </c>
      <c r="E567">
        <v>292</v>
      </c>
      <c r="F567">
        <v>0</v>
      </c>
      <c r="G567" t="s">
        <v>20</v>
      </c>
      <c r="H567">
        <v>115</v>
      </c>
      <c r="I567" t="s">
        <v>22</v>
      </c>
      <c r="J567">
        <v>1.7</v>
      </c>
      <c r="K567" t="s">
        <v>19</v>
      </c>
      <c r="L567">
        <v>1</v>
      </c>
    </row>
    <row r="568" spans="1:12" x14ac:dyDescent="0.3">
      <c r="A568">
        <v>41</v>
      </c>
      <c r="B568" t="s">
        <v>12</v>
      </c>
      <c r="C568" t="s">
        <v>21</v>
      </c>
      <c r="D568">
        <v>150</v>
      </c>
      <c r="E568">
        <v>171</v>
      </c>
      <c r="F568">
        <v>0</v>
      </c>
      <c r="G568" t="s">
        <v>14</v>
      </c>
      <c r="H568">
        <v>128</v>
      </c>
      <c r="I568" t="s">
        <v>22</v>
      </c>
      <c r="J568">
        <v>1.5</v>
      </c>
      <c r="K568" t="s">
        <v>19</v>
      </c>
      <c r="L568">
        <v>0</v>
      </c>
    </row>
    <row r="569" spans="1:12" x14ac:dyDescent="0.3">
      <c r="A569">
        <v>71</v>
      </c>
      <c r="B569" t="s">
        <v>12</v>
      </c>
      <c r="C569" t="s">
        <v>21</v>
      </c>
      <c r="D569">
        <v>130</v>
      </c>
      <c r="E569">
        <v>221</v>
      </c>
      <c r="F569">
        <v>0</v>
      </c>
      <c r="G569" t="s">
        <v>20</v>
      </c>
      <c r="H569">
        <v>115</v>
      </c>
      <c r="I569" t="s">
        <v>22</v>
      </c>
      <c r="J569">
        <v>0</v>
      </c>
      <c r="K569" t="s">
        <v>19</v>
      </c>
      <c r="L569">
        <v>1</v>
      </c>
    </row>
    <row r="570" spans="1:12" x14ac:dyDescent="0.3">
      <c r="A570">
        <v>38</v>
      </c>
      <c r="B570" t="s">
        <v>12</v>
      </c>
      <c r="C570" t="s">
        <v>21</v>
      </c>
      <c r="D570">
        <v>110</v>
      </c>
      <c r="E570">
        <v>289</v>
      </c>
      <c r="F570">
        <v>0</v>
      </c>
      <c r="G570" t="s">
        <v>14</v>
      </c>
      <c r="H570">
        <v>105</v>
      </c>
      <c r="I570" t="s">
        <v>22</v>
      </c>
      <c r="J570">
        <v>1.5</v>
      </c>
      <c r="K570" t="s">
        <v>25</v>
      </c>
      <c r="L570">
        <v>1</v>
      </c>
    </row>
    <row r="571" spans="1:12" x14ac:dyDescent="0.3">
      <c r="A571">
        <v>55</v>
      </c>
      <c r="B571" t="s">
        <v>12</v>
      </c>
      <c r="C571" t="s">
        <v>21</v>
      </c>
      <c r="D571">
        <v>158</v>
      </c>
      <c r="E571">
        <v>217</v>
      </c>
      <c r="F571">
        <v>0</v>
      </c>
      <c r="G571" t="s">
        <v>14</v>
      </c>
      <c r="H571">
        <v>110</v>
      </c>
      <c r="I571" t="s">
        <v>22</v>
      </c>
      <c r="J571">
        <v>2.5</v>
      </c>
      <c r="K571" t="s">
        <v>19</v>
      </c>
      <c r="L571">
        <v>1</v>
      </c>
    </row>
    <row r="572" spans="1:12" x14ac:dyDescent="0.3">
      <c r="A572">
        <v>56</v>
      </c>
      <c r="B572" t="s">
        <v>12</v>
      </c>
      <c r="C572" t="s">
        <v>21</v>
      </c>
      <c r="D572">
        <v>128</v>
      </c>
      <c r="E572">
        <v>223</v>
      </c>
      <c r="F572">
        <v>0</v>
      </c>
      <c r="G572" t="s">
        <v>20</v>
      </c>
      <c r="H572">
        <v>119</v>
      </c>
      <c r="I572" t="s">
        <v>22</v>
      </c>
      <c r="J572">
        <v>2</v>
      </c>
      <c r="K572" t="s">
        <v>25</v>
      </c>
      <c r="L572">
        <v>1</v>
      </c>
    </row>
    <row r="573" spans="1:12" x14ac:dyDescent="0.3">
      <c r="A573">
        <v>69</v>
      </c>
      <c r="B573" t="s">
        <v>12</v>
      </c>
      <c r="C573" t="s">
        <v>21</v>
      </c>
      <c r="D573">
        <v>140</v>
      </c>
      <c r="E573">
        <v>110</v>
      </c>
      <c r="F573">
        <v>1</v>
      </c>
      <c r="G573" t="s">
        <v>14</v>
      </c>
      <c r="H573">
        <v>109</v>
      </c>
      <c r="I573" t="s">
        <v>22</v>
      </c>
      <c r="J573">
        <v>1.5</v>
      </c>
      <c r="K573" t="s">
        <v>19</v>
      </c>
      <c r="L573">
        <v>1</v>
      </c>
    </row>
    <row r="574" spans="1:12" x14ac:dyDescent="0.3">
      <c r="A574">
        <v>64</v>
      </c>
      <c r="B574" t="s">
        <v>12</v>
      </c>
      <c r="C574" t="s">
        <v>21</v>
      </c>
      <c r="D574">
        <v>150</v>
      </c>
      <c r="E574">
        <v>193</v>
      </c>
      <c r="F574">
        <v>0</v>
      </c>
      <c r="G574" t="s">
        <v>20</v>
      </c>
      <c r="H574">
        <v>135</v>
      </c>
      <c r="I574" t="s">
        <v>22</v>
      </c>
      <c r="J574">
        <v>0.5</v>
      </c>
      <c r="K574" t="s">
        <v>19</v>
      </c>
      <c r="L574">
        <v>1</v>
      </c>
    </row>
    <row r="575" spans="1:12" x14ac:dyDescent="0.3">
      <c r="A575">
        <v>72</v>
      </c>
      <c r="B575" t="s">
        <v>12</v>
      </c>
      <c r="C575" t="s">
        <v>21</v>
      </c>
      <c r="D575">
        <v>160</v>
      </c>
      <c r="E575">
        <v>123</v>
      </c>
      <c r="F575">
        <v>1</v>
      </c>
      <c r="G575" t="s">
        <v>24</v>
      </c>
      <c r="H575">
        <v>130</v>
      </c>
      <c r="I575" t="s">
        <v>15</v>
      </c>
      <c r="J575">
        <v>1.5</v>
      </c>
      <c r="K575" t="s">
        <v>19</v>
      </c>
      <c r="L575">
        <v>1</v>
      </c>
    </row>
    <row r="576" spans="1:12" x14ac:dyDescent="0.3">
      <c r="A576">
        <v>69</v>
      </c>
      <c r="B576" t="s">
        <v>12</v>
      </c>
      <c r="C576" t="s">
        <v>21</v>
      </c>
      <c r="D576">
        <v>142</v>
      </c>
      <c r="E576">
        <v>210</v>
      </c>
      <c r="F576">
        <v>1</v>
      </c>
      <c r="G576" t="s">
        <v>20</v>
      </c>
      <c r="H576">
        <v>112</v>
      </c>
      <c r="I576" t="s">
        <v>22</v>
      </c>
      <c r="J576">
        <v>1.5</v>
      </c>
      <c r="K576" t="s">
        <v>19</v>
      </c>
      <c r="L576">
        <v>1</v>
      </c>
    </row>
    <row r="577" spans="1:12" x14ac:dyDescent="0.3">
      <c r="A577">
        <v>56</v>
      </c>
      <c r="B577" t="s">
        <v>12</v>
      </c>
      <c r="C577" t="s">
        <v>21</v>
      </c>
      <c r="D577">
        <v>137</v>
      </c>
      <c r="E577">
        <v>282</v>
      </c>
      <c r="F577">
        <v>1</v>
      </c>
      <c r="G577" t="s">
        <v>14</v>
      </c>
      <c r="H577">
        <v>126</v>
      </c>
      <c r="I577" t="s">
        <v>22</v>
      </c>
      <c r="J577">
        <v>1.2</v>
      </c>
      <c r="K577" t="s">
        <v>19</v>
      </c>
      <c r="L577">
        <v>1</v>
      </c>
    </row>
    <row r="578" spans="1:12" x14ac:dyDescent="0.3">
      <c r="A578">
        <v>62</v>
      </c>
      <c r="B578" t="s">
        <v>12</v>
      </c>
      <c r="C578" t="s">
        <v>21</v>
      </c>
      <c r="D578">
        <v>139</v>
      </c>
      <c r="E578">
        <v>170</v>
      </c>
      <c r="F578">
        <v>0</v>
      </c>
      <c r="G578" t="s">
        <v>20</v>
      </c>
      <c r="H578">
        <v>120</v>
      </c>
      <c r="I578" t="s">
        <v>22</v>
      </c>
      <c r="J578">
        <v>3</v>
      </c>
      <c r="K578" t="s">
        <v>19</v>
      </c>
      <c r="L578">
        <v>1</v>
      </c>
    </row>
    <row r="579" spans="1:12" x14ac:dyDescent="0.3">
      <c r="A579">
        <v>67</v>
      </c>
      <c r="B579" t="s">
        <v>12</v>
      </c>
      <c r="C579" t="s">
        <v>21</v>
      </c>
      <c r="D579">
        <v>146</v>
      </c>
      <c r="E579">
        <v>369</v>
      </c>
      <c r="F579">
        <v>0</v>
      </c>
      <c r="G579" t="s">
        <v>14</v>
      </c>
      <c r="H579">
        <v>110</v>
      </c>
      <c r="I579" t="s">
        <v>22</v>
      </c>
      <c r="J579">
        <v>1.9</v>
      </c>
      <c r="K579" t="s">
        <v>19</v>
      </c>
      <c r="L579">
        <v>1</v>
      </c>
    </row>
    <row r="580" spans="1:12" x14ac:dyDescent="0.3">
      <c r="A580">
        <v>57</v>
      </c>
      <c r="B580" t="s">
        <v>12</v>
      </c>
      <c r="C580" t="s">
        <v>21</v>
      </c>
      <c r="D580">
        <v>156</v>
      </c>
      <c r="E580">
        <v>173</v>
      </c>
      <c r="F580">
        <v>0</v>
      </c>
      <c r="G580" t="s">
        <v>24</v>
      </c>
      <c r="H580">
        <v>119</v>
      </c>
      <c r="I580" t="s">
        <v>22</v>
      </c>
      <c r="J580">
        <v>3</v>
      </c>
      <c r="K580" t="s">
        <v>25</v>
      </c>
      <c r="L580">
        <v>1</v>
      </c>
    </row>
    <row r="581" spans="1:12" x14ac:dyDescent="0.3">
      <c r="A581">
        <v>69</v>
      </c>
      <c r="B581" t="s">
        <v>12</v>
      </c>
      <c r="C581" t="s">
        <v>21</v>
      </c>
      <c r="D581">
        <v>145</v>
      </c>
      <c r="E581">
        <v>289</v>
      </c>
      <c r="F581">
        <v>1</v>
      </c>
      <c r="G581" t="s">
        <v>20</v>
      </c>
      <c r="H581">
        <v>110</v>
      </c>
      <c r="I581" t="s">
        <v>22</v>
      </c>
      <c r="J581">
        <v>1.8</v>
      </c>
      <c r="K581" t="s">
        <v>19</v>
      </c>
      <c r="L581">
        <v>1</v>
      </c>
    </row>
    <row r="582" spans="1:12" x14ac:dyDescent="0.3">
      <c r="A582">
        <v>51</v>
      </c>
      <c r="B582" t="s">
        <v>12</v>
      </c>
      <c r="C582" t="s">
        <v>21</v>
      </c>
      <c r="D582">
        <v>131</v>
      </c>
      <c r="E582">
        <v>152</v>
      </c>
      <c r="F582">
        <v>1</v>
      </c>
      <c r="G582" t="s">
        <v>24</v>
      </c>
      <c r="H582">
        <v>130</v>
      </c>
      <c r="I582" t="s">
        <v>22</v>
      </c>
      <c r="J582">
        <v>1</v>
      </c>
      <c r="K582" t="s">
        <v>19</v>
      </c>
      <c r="L582">
        <v>1</v>
      </c>
    </row>
    <row r="583" spans="1:12" x14ac:dyDescent="0.3">
      <c r="A583">
        <v>48</v>
      </c>
      <c r="B583" t="s">
        <v>12</v>
      </c>
      <c r="C583" t="s">
        <v>21</v>
      </c>
      <c r="D583">
        <v>140</v>
      </c>
      <c r="E583">
        <v>208</v>
      </c>
      <c r="F583">
        <v>0</v>
      </c>
      <c r="G583" t="s">
        <v>14</v>
      </c>
      <c r="H583">
        <v>159</v>
      </c>
      <c r="I583" t="s">
        <v>22</v>
      </c>
      <c r="J583">
        <v>1.5</v>
      </c>
      <c r="K583" t="s">
        <v>16</v>
      </c>
      <c r="L583">
        <v>1</v>
      </c>
    </row>
    <row r="584" spans="1:12" x14ac:dyDescent="0.3">
      <c r="A584">
        <v>69</v>
      </c>
      <c r="B584" t="s">
        <v>12</v>
      </c>
      <c r="C584" t="s">
        <v>21</v>
      </c>
      <c r="D584">
        <v>122</v>
      </c>
      <c r="E584">
        <v>216</v>
      </c>
      <c r="F584">
        <v>1</v>
      </c>
      <c r="G584" t="s">
        <v>24</v>
      </c>
      <c r="H584">
        <v>84</v>
      </c>
      <c r="I584" t="s">
        <v>22</v>
      </c>
      <c r="J584">
        <v>0</v>
      </c>
      <c r="K584" t="s">
        <v>19</v>
      </c>
      <c r="L584">
        <v>1</v>
      </c>
    </row>
    <row r="585" spans="1:12" x14ac:dyDescent="0.3">
      <c r="A585">
        <v>69</v>
      </c>
      <c r="B585" t="s">
        <v>12</v>
      </c>
      <c r="C585" t="s">
        <v>18</v>
      </c>
      <c r="D585">
        <v>142</v>
      </c>
      <c r="E585">
        <v>271</v>
      </c>
      <c r="F585">
        <v>0</v>
      </c>
      <c r="G585" t="s">
        <v>24</v>
      </c>
      <c r="H585">
        <v>126</v>
      </c>
      <c r="I585" t="s">
        <v>15</v>
      </c>
      <c r="J585">
        <v>0.3</v>
      </c>
      <c r="K585" t="s">
        <v>16</v>
      </c>
      <c r="L585">
        <v>0</v>
      </c>
    </row>
    <row r="586" spans="1:12" x14ac:dyDescent="0.3">
      <c r="A586">
        <v>64</v>
      </c>
      <c r="B586" t="s">
        <v>12</v>
      </c>
      <c r="C586" t="s">
        <v>21</v>
      </c>
      <c r="D586">
        <v>141</v>
      </c>
      <c r="E586">
        <v>244</v>
      </c>
      <c r="F586">
        <v>1</v>
      </c>
      <c r="G586" t="s">
        <v>20</v>
      </c>
      <c r="H586">
        <v>116</v>
      </c>
      <c r="I586" t="s">
        <v>22</v>
      </c>
      <c r="J586">
        <v>1.5</v>
      </c>
      <c r="K586" t="s">
        <v>19</v>
      </c>
      <c r="L586">
        <v>1</v>
      </c>
    </row>
    <row r="587" spans="1:12" x14ac:dyDescent="0.3">
      <c r="A587">
        <v>57</v>
      </c>
      <c r="B587" t="s">
        <v>12</v>
      </c>
      <c r="C587" t="s">
        <v>13</v>
      </c>
      <c r="D587">
        <v>180</v>
      </c>
      <c r="E587">
        <v>285</v>
      </c>
      <c r="F587">
        <v>1</v>
      </c>
      <c r="G587" t="s">
        <v>20</v>
      </c>
      <c r="H587">
        <v>120</v>
      </c>
      <c r="I587" t="s">
        <v>15</v>
      </c>
      <c r="J587">
        <v>0.8</v>
      </c>
      <c r="K587" t="s">
        <v>19</v>
      </c>
      <c r="L587">
        <v>1</v>
      </c>
    </row>
    <row r="588" spans="1:12" x14ac:dyDescent="0.3">
      <c r="A588">
        <v>53</v>
      </c>
      <c r="B588" t="s">
        <v>12</v>
      </c>
      <c r="C588" t="s">
        <v>21</v>
      </c>
      <c r="D588">
        <v>124</v>
      </c>
      <c r="E588">
        <v>243</v>
      </c>
      <c r="F588">
        <v>0</v>
      </c>
      <c r="G588" t="s">
        <v>14</v>
      </c>
      <c r="H588">
        <v>122</v>
      </c>
      <c r="I588" t="s">
        <v>22</v>
      </c>
      <c r="J588">
        <v>2</v>
      </c>
      <c r="K588" t="s">
        <v>19</v>
      </c>
      <c r="L588">
        <v>1</v>
      </c>
    </row>
    <row r="589" spans="1:12" x14ac:dyDescent="0.3">
      <c r="A589">
        <v>37</v>
      </c>
      <c r="B589" t="s">
        <v>12</v>
      </c>
      <c r="C589" t="s">
        <v>18</v>
      </c>
      <c r="D589">
        <v>118</v>
      </c>
      <c r="E589">
        <v>240</v>
      </c>
      <c r="F589">
        <v>0</v>
      </c>
      <c r="G589" t="s">
        <v>24</v>
      </c>
      <c r="H589">
        <v>165</v>
      </c>
      <c r="I589" t="s">
        <v>15</v>
      </c>
      <c r="J589">
        <v>1</v>
      </c>
      <c r="K589" t="s">
        <v>19</v>
      </c>
      <c r="L589">
        <v>0</v>
      </c>
    </row>
    <row r="590" spans="1:12" x14ac:dyDescent="0.3">
      <c r="A590">
        <v>67</v>
      </c>
      <c r="B590" t="s">
        <v>12</v>
      </c>
      <c r="C590" t="s">
        <v>21</v>
      </c>
      <c r="D590">
        <v>140</v>
      </c>
      <c r="E590">
        <v>219</v>
      </c>
      <c r="F590">
        <v>0</v>
      </c>
      <c r="G590" t="s">
        <v>20</v>
      </c>
      <c r="H590">
        <v>122</v>
      </c>
      <c r="I590" t="s">
        <v>22</v>
      </c>
      <c r="J590">
        <v>2</v>
      </c>
      <c r="K590" t="s">
        <v>19</v>
      </c>
      <c r="L590">
        <v>1</v>
      </c>
    </row>
    <row r="591" spans="1:12" x14ac:dyDescent="0.3">
      <c r="A591">
        <v>74</v>
      </c>
      <c r="B591" t="s">
        <v>12</v>
      </c>
      <c r="C591" t="s">
        <v>18</v>
      </c>
      <c r="D591">
        <v>140</v>
      </c>
      <c r="E591">
        <v>237</v>
      </c>
      <c r="F591">
        <v>1</v>
      </c>
      <c r="G591" t="s">
        <v>14</v>
      </c>
      <c r="H591">
        <v>94</v>
      </c>
      <c r="I591" t="s">
        <v>15</v>
      </c>
      <c r="J591">
        <v>0</v>
      </c>
      <c r="K591" t="s">
        <v>19</v>
      </c>
      <c r="L591">
        <v>1</v>
      </c>
    </row>
    <row r="592" spans="1:12" x14ac:dyDescent="0.3">
      <c r="A592">
        <v>63</v>
      </c>
      <c r="B592" t="s">
        <v>12</v>
      </c>
      <c r="C592" t="s">
        <v>13</v>
      </c>
      <c r="D592">
        <v>136</v>
      </c>
      <c r="E592">
        <v>165</v>
      </c>
      <c r="F592">
        <v>0</v>
      </c>
      <c r="G592" t="s">
        <v>20</v>
      </c>
      <c r="H592">
        <v>133</v>
      </c>
      <c r="I592" t="s">
        <v>15</v>
      </c>
      <c r="J592">
        <v>0.2</v>
      </c>
      <c r="K592" t="s">
        <v>16</v>
      </c>
      <c r="L592">
        <v>0</v>
      </c>
    </row>
    <row r="593" spans="1:12" x14ac:dyDescent="0.3">
      <c r="A593">
        <v>58</v>
      </c>
      <c r="B593" t="s">
        <v>12</v>
      </c>
      <c r="C593" t="s">
        <v>21</v>
      </c>
      <c r="D593">
        <v>100</v>
      </c>
      <c r="E593">
        <v>213</v>
      </c>
      <c r="F593">
        <v>0</v>
      </c>
      <c r="G593" t="s">
        <v>20</v>
      </c>
      <c r="H593">
        <v>110</v>
      </c>
      <c r="I593" t="s">
        <v>15</v>
      </c>
      <c r="J593">
        <v>0</v>
      </c>
      <c r="K593" t="s">
        <v>16</v>
      </c>
      <c r="L593">
        <v>0</v>
      </c>
    </row>
    <row r="594" spans="1:12" x14ac:dyDescent="0.3">
      <c r="A594">
        <v>61</v>
      </c>
      <c r="B594" t="s">
        <v>12</v>
      </c>
      <c r="C594" t="s">
        <v>21</v>
      </c>
      <c r="D594">
        <v>190</v>
      </c>
      <c r="E594">
        <v>287</v>
      </c>
      <c r="F594">
        <v>1</v>
      </c>
      <c r="G594" t="s">
        <v>24</v>
      </c>
      <c r="H594">
        <v>150</v>
      </c>
      <c r="I594" t="s">
        <v>22</v>
      </c>
      <c r="J594">
        <v>2</v>
      </c>
      <c r="K594" t="s">
        <v>25</v>
      </c>
      <c r="L594">
        <v>1</v>
      </c>
    </row>
    <row r="595" spans="1:12" x14ac:dyDescent="0.3">
      <c r="A595">
        <v>64</v>
      </c>
      <c r="B595" t="s">
        <v>12</v>
      </c>
      <c r="C595" t="s">
        <v>21</v>
      </c>
      <c r="D595">
        <v>130</v>
      </c>
      <c r="E595">
        <v>258</v>
      </c>
      <c r="F595">
        <v>1</v>
      </c>
      <c r="G595" t="s">
        <v>24</v>
      </c>
      <c r="H595">
        <v>130</v>
      </c>
      <c r="I595" t="s">
        <v>15</v>
      </c>
      <c r="J595">
        <v>0</v>
      </c>
      <c r="K595" t="s">
        <v>19</v>
      </c>
      <c r="L595">
        <v>1</v>
      </c>
    </row>
    <row r="596" spans="1:12" x14ac:dyDescent="0.3">
      <c r="A596">
        <v>58</v>
      </c>
      <c r="B596" t="s">
        <v>12</v>
      </c>
      <c r="C596" t="s">
        <v>21</v>
      </c>
      <c r="D596">
        <v>160</v>
      </c>
      <c r="E596">
        <v>256</v>
      </c>
      <c r="F596">
        <v>1</v>
      </c>
      <c r="G596" t="s">
        <v>24</v>
      </c>
      <c r="H596">
        <v>113</v>
      </c>
      <c r="I596" t="s">
        <v>22</v>
      </c>
      <c r="J596">
        <v>1</v>
      </c>
      <c r="K596" t="s">
        <v>16</v>
      </c>
      <c r="L596">
        <v>1</v>
      </c>
    </row>
    <row r="597" spans="1:12" x14ac:dyDescent="0.3">
      <c r="A597">
        <v>60</v>
      </c>
      <c r="B597" t="s">
        <v>12</v>
      </c>
      <c r="C597" t="s">
        <v>21</v>
      </c>
      <c r="D597">
        <v>130</v>
      </c>
      <c r="E597">
        <v>186</v>
      </c>
      <c r="F597">
        <v>1</v>
      </c>
      <c r="G597" t="s">
        <v>24</v>
      </c>
      <c r="H597">
        <v>140</v>
      </c>
      <c r="I597" t="s">
        <v>22</v>
      </c>
      <c r="J597">
        <v>0.5</v>
      </c>
      <c r="K597" t="s">
        <v>19</v>
      </c>
      <c r="L597">
        <v>1</v>
      </c>
    </row>
    <row r="598" spans="1:12" x14ac:dyDescent="0.3">
      <c r="A598">
        <v>57</v>
      </c>
      <c r="B598" t="s">
        <v>12</v>
      </c>
      <c r="C598" t="s">
        <v>21</v>
      </c>
      <c r="D598">
        <v>122</v>
      </c>
      <c r="E598">
        <v>264</v>
      </c>
      <c r="F598">
        <v>0</v>
      </c>
      <c r="G598" t="s">
        <v>24</v>
      </c>
      <c r="H598">
        <v>100</v>
      </c>
      <c r="I598" t="s">
        <v>15</v>
      </c>
      <c r="J598">
        <v>0</v>
      </c>
      <c r="K598" t="s">
        <v>19</v>
      </c>
      <c r="L598">
        <v>1</v>
      </c>
    </row>
    <row r="599" spans="1:12" x14ac:dyDescent="0.3">
      <c r="A599">
        <v>55</v>
      </c>
      <c r="B599" t="s">
        <v>12</v>
      </c>
      <c r="C599" t="s">
        <v>18</v>
      </c>
      <c r="D599">
        <v>133</v>
      </c>
      <c r="E599">
        <v>185</v>
      </c>
      <c r="F599">
        <v>0</v>
      </c>
      <c r="G599" t="s">
        <v>20</v>
      </c>
      <c r="H599">
        <v>136</v>
      </c>
      <c r="I599" t="s">
        <v>15</v>
      </c>
      <c r="J599">
        <v>0.2</v>
      </c>
      <c r="K599" t="s">
        <v>16</v>
      </c>
      <c r="L599">
        <v>0</v>
      </c>
    </row>
    <row r="600" spans="1:12" x14ac:dyDescent="0.3">
      <c r="A600">
        <v>55</v>
      </c>
      <c r="B600" t="s">
        <v>12</v>
      </c>
      <c r="C600" t="s">
        <v>21</v>
      </c>
      <c r="D600">
        <v>120</v>
      </c>
      <c r="E600">
        <v>226</v>
      </c>
      <c r="F600">
        <v>0</v>
      </c>
      <c r="G600" t="s">
        <v>24</v>
      </c>
      <c r="H600">
        <v>127</v>
      </c>
      <c r="I600" t="s">
        <v>22</v>
      </c>
      <c r="J600">
        <v>1.7</v>
      </c>
      <c r="K600" t="s">
        <v>25</v>
      </c>
      <c r="L600">
        <v>1</v>
      </c>
    </row>
    <row r="601" spans="1:12" x14ac:dyDescent="0.3">
      <c r="A601">
        <v>56</v>
      </c>
      <c r="B601" t="s">
        <v>12</v>
      </c>
      <c r="C601" t="s">
        <v>21</v>
      </c>
      <c r="D601">
        <v>130</v>
      </c>
      <c r="E601">
        <v>203</v>
      </c>
      <c r="F601">
        <v>1</v>
      </c>
      <c r="G601" t="s">
        <v>14</v>
      </c>
      <c r="H601">
        <v>98</v>
      </c>
      <c r="I601" t="s">
        <v>15</v>
      </c>
      <c r="J601">
        <v>1.5</v>
      </c>
      <c r="K601" t="s">
        <v>19</v>
      </c>
      <c r="L601">
        <v>1</v>
      </c>
    </row>
    <row r="602" spans="1:12" x14ac:dyDescent="0.3">
      <c r="A602">
        <v>57</v>
      </c>
      <c r="B602" t="s">
        <v>12</v>
      </c>
      <c r="C602" t="s">
        <v>21</v>
      </c>
      <c r="D602">
        <v>130</v>
      </c>
      <c r="E602">
        <v>207</v>
      </c>
      <c r="F602">
        <v>0</v>
      </c>
      <c r="G602" t="s">
        <v>20</v>
      </c>
      <c r="H602">
        <v>96</v>
      </c>
      <c r="I602" t="s">
        <v>22</v>
      </c>
      <c r="J602">
        <v>1</v>
      </c>
      <c r="K602" t="s">
        <v>19</v>
      </c>
      <c r="L602">
        <v>0</v>
      </c>
    </row>
    <row r="603" spans="1:12" x14ac:dyDescent="0.3">
      <c r="A603">
        <v>61</v>
      </c>
      <c r="B603" t="s">
        <v>12</v>
      </c>
      <c r="C603" t="s">
        <v>18</v>
      </c>
      <c r="D603">
        <v>140</v>
      </c>
      <c r="E603">
        <v>284</v>
      </c>
      <c r="F603">
        <v>0</v>
      </c>
      <c r="G603" t="s">
        <v>14</v>
      </c>
      <c r="H603">
        <v>123</v>
      </c>
      <c r="I603" t="s">
        <v>22</v>
      </c>
      <c r="J603">
        <v>1.3</v>
      </c>
      <c r="K603" t="s">
        <v>19</v>
      </c>
      <c r="L603">
        <v>1</v>
      </c>
    </row>
    <row r="604" spans="1:12" x14ac:dyDescent="0.3">
      <c r="A604">
        <v>61</v>
      </c>
      <c r="B604" t="s">
        <v>12</v>
      </c>
      <c r="C604" t="s">
        <v>18</v>
      </c>
      <c r="D604">
        <v>120</v>
      </c>
      <c r="E604">
        <v>337</v>
      </c>
      <c r="F604">
        <v>0</v>
      </c>
      <c r="G604" t="s">
        <v>14</v>
      </c>
      <c r="H604">
        <v>98</v>
      </c>
      <c r="I604" t="s">
        <v>22</v>
      </c>
      <c r="J604">
        <v>0</v>
      </c>
      <c r="K604" t="s">
        <v>19</v>
      </c>
      <c r="L604">
        <v>1</v>
      </c>
    </row>
    <row r="605" spans="1:12" x14ac:dyDescent="0.3">
      <c r="A605">
        <v>74</v>
      </c>
      <c r="B605" t="s">
        <v>12</v>
      </c>
      <c r="C605" t="s">
        <v>21</v>
      </c>
      <c r="D605">
        <v>155</v>
      </c>
      <c r="E605">
        <v>310</v>
      </c>
      <c r="F605">
        <v>0</v>
      </c>
      <c r="G605" t="s">
        <v>14</v>
      </c>
      <c r="H605">
        <v>112</v>
      </c>
      <c r="I605" t="s">
        <v>22</v>
      </c>
      <c r="J605">
        <v>1.5</v>
      </c>
      <c r="K605" t="s">
        <v>25</v>
      </c>
      <c r="L605">
        <v>1</v>
      </c>
    </row>
    <row r="606" spans="1:12" x14ac:dyDescent="0.3">
      <c r="A606">
        <v>68</v>
      </c>
      <c r="B606" t="s">
        <v>12</v>
      </c>
      <c r="C606" t="s">
        <v>18</v>
      </c>
      <c r="D606">
        <v>134</v>
      </c>
      <c r="E606">
        <v>254</v>
      </c>
      <c r="F606">
        <v>1</v>
      </c>
      <c r="G606" t="s">
        <v>14</v>
      </c>
      <c r="H606">
        <v>151</v>
      </c>
      <c r="I606" t="s">
        <v>22</v>
      </c>
      <c r="J606">
        <v>0</v>
      </c>
      <c r="K606" t="s">
        <v>16</v>
      </c>
      <c r="L606">
        <v>0</v>
      </c>
    </row>
    <row r="607" spans="1:12" x14ac:dyDescent="0.3">
      <c r="A607">
        <v>51</v>
      </c>
      <c r="B607" t="s">
        <v>17</v>
      </c>
      <c r="C607" t="s">
        <v>21</v>
      </c>
      <c r="D607">
        <v>114</v>
      </c>
      <c r="E607">
        <v>258</v>
      </c>
      <c r="F607">
        <v>1</v>
      </c>
      <c r="G607" t="s">
        <v>24</v>
      </c>
      <c r="H607">
        <v>96</v>
      </c>
      <c r="I607" t="s">
        <v>15</v>
      </c>
      <c r="J607">
        <v>1</v>
      </c>
      <c r="K607" t="s">
        <v>16</v>
      </c>
      <c r="L607">
        <v>0</v>
      </c>
    </row>
    <row r="608" spans="1:12" x14ac:dyDescent="0.3">
      <c r="A608">
        <v>62</v>
      </c>
      <c r="B608" t="s">
        <v>12</v>
      </c>
      <c r="C608" t="s">
        <v>21</v>
      </c>
      <c r="D608">
        <v>160</v>
      </c>
      <c r="E608">
        <v>254</v>
      </c>
      <c r="F608">
        <v>1</v>
      </c>
      <c r="G608" t="s">
        <v>20</v>
      </c>
      <c r="H608">
        <v>108</v>
      </c>
      <c r="I608" t="s">
        <v>22</v>
      </c>
      <c r="J608">
        <v>3</v>
      </c>
      <c r="K608" t="s">
        <v>19</v>
      </c>
      <c r="L608">
        <v>1</v>
      </c>
    </row>
    <row r="609" spans="1:12" x14ac:dyDescent="0.3">
      <c r="A609">
        <v>53</v>
      </c>
      <c r="B609" t="s">
        <v>12</v>
      </c>
      <c r="C609" t="s">
        <v>21</v>
      </c>
      <c r="D609">
        <v>144</v>
      </c>
      <c r="E609">
        <v>300</v>
      </c>
      <c r="F609">
        <v>1</v>
      </c>
      <c r="G609" t="s">
        <v>20</v>
      </c>
      <c r="H609">
        <v>128</v>
      </c>
      <c r="I609" t="s">
        <v>22</v>
      </c>
      <c r="J609">
        <v>1.5</v>
      </c>
      <c r="K609" t="s">
        <v>19</v>
      </c>
      <c r="L609">
        <v>1</v>
      </c>
    </row>
    <row r="610" spans="1:12" x14ac:dyDescent="0.3">
      <c r="A610">
        <v>62</v>
      </c>
      <c r="B610" t="s">
        <v>12</v>
      </c>
      <c r="C610" t="s">
        <v>21</v>
      </c>
      <c r="D610">
        <v>158</v>
      </c>
      <c r="E610">
        <v>170</v>
      </c>
      <c r="F610">
        <v>0</v>
      </c>
      <c r="G610" t="s">
        <v>20</v>
      </c>
      <c r="H610">
        <v>138</v>
      </c>
      <c r="I610" t="s">
        <v>22</v>
      </c>
      <c r="J610">
        <v>0</v>
      </c>
      <c r="K610" t="s">
        <v>19</v>
      </c>
      <c r="L610">
        <v>1</v>
      </c>
    </row>
    <row r="611" spans="1:12" x14ac:dyDescent="0.3">
      <c r="A611">
        <v>46</v>
      </c>
      <c r="B611" t="s">
        <v>12</v>
      </c>
      <c r="C611" t="s">
        <v>21</v>
      </c>
      <c r="D611">
        <v>134</v>
      </c>
      <c r="E611">
        <v>310</v>
      </c>
      <c r="F611">
        <v>0</v>
      </c>
      <c r="G611" t="s">
        <v>14</v>
      </c>
      <c r="H611">
        <v>126</v>
      </c>
      <c r="I611" t="s">
        <v>15</v>
      </c>
      <c r="J611">
        <v>0</v>
      </c>
      <c r="K611" t="s">
        <v>19</v>
      </c>
      <c r="L611">
        <v>1</v>
      </c>
    </row>
    <row r="612" spans="1:12" x14ac:dyDescent="0.3">
      <c r="A612">
        <v>54</v>
      </c>
      <c r="B612" t="s">
        <v>17</v>
      </c>
      <c r="C612" t="s">
        <v>21</v>
      </c>
      <c r="D612">
        <v>127</v>
      </c>
      <c r="E612">
        <v>333</v>
      </c>
      <c r="F612">
        <v>1</v>
      </c>
      <c r="G612" t="s">
        <v>20</v>
      </c>
      <c r="H612">
        <v>154</v>
      </c>
      <c r="I612" t="s">
        <v>15</v>
      </c>
      <c r="J612">
        <v>0</v>
      </c>
      <c r="K612" t="s">
        <v>19</v>
      </c>
      <c r="L612">
        <v>1</v>
      </c>
    </row>
    <row r="613" spans="1:12" x14ac:dyDescent="0.3">
      <c r="A613">
        <v>62</v>
      </c>
      <c r="B613" t="s">
        <v>12</v>
      </c>
      <c r="C613" t="s">
        <v>23</v>
      </c>
      <c r="D613">
        <v>135</v>
      </c>
      <c r="E613">
        <v>139</v>
      </c>
      <c r="F613">
        <v>0</v>
      </c>
      <c r="G613" t="s">
        <v>20</v>
      </c>
      <c r="H613">
        <v>137</v>
      </c>
      <c r="I613" t="s">
        <v>15</v>
      </c>
      <c r="J613">
        <v>0.2</v>
      </c>
      <c r="K613" t="s">
        <v>16</v>
      </c>
      <c r="L613">
        <v>0</v>
      </c>
    </row>
    <row r="614" spans="1:12" x14ac:dyDescent="0.3">
      <c r="A614">
        <v>55</v>
      </c>
      <c r="B614" t="s">
        <v>12</v>
      </c>
      <c r="C614" t="s">
        <v>21</v>
      </c>
      <c r="D614">
        <v>122</v>
      </c>
      <c r="E614">
        <v>223</v>
      </c>
      <c r="F614">
        <v>1</v>
      </c>
      <c r="G614" t="s">
        <v>20</v>
      </c>
      <c r="H614">
        <v>100</v>
      </c>
      <c r="I614" t="s">
        <v>15</v>
      </c>
      <c r="J614">
        <v>0</v>
      </c>
      <c r="K614" t="s">
        <v>19</v>
      </c>
      <c r="L614">
        <v>1</v>
      </c>
    </row>
    <row r="615" spans="1:12" x14ac:dyDescent="0.3">
      <c r="A615">
        <v>58</v>
      </c>
      <c r="B615" t="s">
        <v>12</v>
      </c>
      <c r="C615" t="s">
        <v>21</v>
      </c>
      <c r="D615">
        <v>140</v>
      </c>
      <c r="E615">
        <v>385</v>
      </c>
      <c r="F615">
        <v>1</v>
      </c>
      <c r="G615" t="s">
        <v>24</v>
      </c>
      <c r="H615">
        <v>135</v>
      </c>
      <c r="I615" t="s">
        <v>15</v>
      </c>
      <c r="J615">
        <v>0.3</v>
      </c>
      <c r="K615" t="s">
        <v>16</v>
      </c>
      <c r="L615">
        <v>0</v>
      </c>
    </row>
    <row r="616" spans="1:12" x14ac:dyDescent="0.3">
      <c r="A616">
        <v>62</v>
      </c>
      <c r="B616" t="s">
        <v>12</v>
      </c>
      <c r="C616" t="s">
        <v>13</v>
      </c>
      <c r="D616">
        <v>120</v>
      </c>
      <c r="E616">
        <v>254</v>
      </c>
      <c r="F616">
        <v>0</v>
      </c>
      <c r="G616" t="s">
        <v>24</v>
      </c>
      <c r="H616">
        <v>93</v>
      </c>
      <c r="I616" t="s">
        <v>22</v>
      </c>
      <c r="J616">
        <v>0</v>
      </c>
      <c r="K616" t="s">
        <v>19</v>
      </c>
      <c r="L616">
        <v>1</v>
      </c>
    </row>
    <row r="617" spans="1:12" x14ac:dyDescent="0.3">
      <c r="A617">
        <v>70</v>
      </c>
      <c r="B617" t="s">
        <v>12</v>
      </c>
      <c r="C617" t="s">
        <v>21</v>
      </c>
      <c r="D617">
        <v>130</v>
      </c>
      <c r="E617">
        <v>322</v>
      </c>
      <c r="F617">
        <v>0</v>
      </c>
      <c r="G617" t="s">
        <v>24</v>
      </c>
      <c r="H617">
        <v>109</v>
      </c>
      <c r="I617" t="s">
        <v>15</v>
      </c>
      <c r="J617">
        <v>2.4</v>
      </c>
      <c r="K617" t="s">
        <v>19</v>
      </c>
      <c r="L617">
        <v>1</v>
      </c>
    </row>
    <row r="618" spans="1:12" x14ac:dyDescent="0.3">
      <c r="A618">
        <v>67</v>
      </c>
      <c r="B618" t="s">
        <v>17</v>
      </c>
      <c r="C618" t="s">
        <v>18</v>
      </c>
      <c r="D618">
        <v>115</v>
      </c>
      <c r="E618">
        <v>564</v>
      </c>
      <c r="F618">
        <v>0</v>
      </c>
      <c r="G618" t="s">
        <v>24</v>
      </c>
      <c r="H618">
        <v>160</v>
      </c>
      <c r="I618" t="s">
        <v>15</v>
      </c>
      <c r="J618">
        <v>1.6</v>
      </c>
      <c r="K618" t="s">
        <v>19</v>
      </c>
      <c r="L618">
        <v>0</v>
      </c>
    </row>
    <row r="619" spans="1:12" x14ac:dyDescent="0.3">
      <c r="A619">
        <v>57</v>
      </c>
      <c r="B619" t="s">
        <v>12</v>
      </c>
      <c r="C619" t="s">
        <v>13</v>
      </c>
      <c r="D619">
        <v>124</v>
      </c>
      <c r="E619">
        <v>261</v>
      </c>
      <c r="F619">
        <v>0</v>
      </c>
      <c r="G619" t="s">
        <v>14</v>
      </c>
      <c r="H619">
        <v>141</v>
      </c>
      <c r="I619" t="s">
        <v>15</v>
      </c>
      <c r="J619">
        <v>0.3</v>
      </c>
      <c r="K619" t="s">
        <v>16</v>
      </c>
      <c r="L619">
        <v>1</v>
      </c>
    </row>
    <row r="620" spans="1:12" x14ac:dyDescent="0.3">
      <c r="A620">
        <v>64</v>
      </c>
      <c r="B620" t="s">
        <v>12</v>
      </c>
      <c r="C620" t="s">
        <v>21</v>
      </c>
      <c r="D620">
        <v>128</v>
      </c>
      <c r="E620">
        <v>263</v>
      </c>
      <c r="F620">
        <v>0</v>
      </c>
      <c r="G620" t="s">
        <v>14</v>
      </c>
      <c r="H620">
        <v>105</v>
      </c>
      <c r="I620" t="s">
        <v>22</v>
      </c>
      <c r="J620">
        <v>0.2</v>
      </c>
      <c r="K620" t="s">
        <v>19</v>
      </c>
      <c r="L620">
        <v>0</v>
      </c>
    </row>
    <row r="621" spans="1:12" x14ac:dyDescent="0.3">
      <c r="A621">
        <v>74</v>
      </c>
      <c r="B621" t="s">
        <v>17</v>
      </c>
      <c r="C621" t="s">
        <v>13</v>
      </c>
      <c r="D621">
        <v>120</v>
      </c>
      <c r="E621">
        <v>269</v>
      </c>
      <c r="F621">
        <v>0</v>
      </c>
      <c r="G621" t="s">
        <v>24</v>
      </c>
      <c r="H621">
        <v>121</v>
      </c>
      <c r="I621" t="s">
        <v>22</v>
      </c>
      <c r="J621">
        <v>0.2</v>
      </c>
      <c r="K621" t="s">
        <v>16</v>
      </c>
      <c r="L621">
        <v>0</v>
      </c>
    </row>
    <row r="622" spans="1:12" x14ac:dyDescent="0.3">
      <c r="A622">
        <v>65</v>
      </c>
      <c r="B622" t="s">
        <v>12</v>
      </c>
      <c r="C622" t="s">
        <v>21</v>
      </c>
      <c r="D622">
        <v>120</v>
      </c>
      <c r="E622">
        <v>177</v>
      </c>
      <c r="F622">
        <v>0</v>
      </c>
      <c r="G622" t="s">
        <v>14</v>
      </c>
      <c r="H622">
        <v>140</v>
      </c>
      <c r="I622" t="s">
        <v>15</v>
      </c>
      <c r="J622">
        <v>0.4</v>
      </c>
      <c r="K622" t="s">
        <v>16</v>
      </c>
      <c r="L622">
        <v>0</v>
      </c>
    </row>
    <row r="623" spans="1:12" x14ac:dyDescent="0.3">
      <c r="A623">
        <v>56</v>
      </c>
      <c r="B623" t="s">
        <v>12</v>
      </c>
      <c r="C623" t="s">
        <v>18</v>
      </c>
      <c r="D623">
        <v>130</v>
      </c>
      <c r="E623">
        <v>256</v>
      </c>
      <c r="F623">
        <v>1</v>
      </c>
      <c r="G623" t="s">
        <v>24</v>
      </c>
      <c r="H623">
        <v>142</v>
      </c>
      <c r="I623" t="s">
        <v>22</v>
      </c>
      <c r="J623">
        <v>0.6</v>
      </c>
      <c r="K623" t="s">
        <v>19</v>
      </c>
      <c r="L623">
        <v>1</v>
      </c>
    </row>
    <row r="624" spans="1:12" x14ac:dyDescent="0.3">
      <c r="A624">
        <v>59</v>
      </c>
      <c r="B624" t="s">
        <v>12</v>
      </c>
      <c r="C624" t="s">
        <v>21</v>
      </c>
      <c r="D624">
        <v>110</v>
      </c>
      <c r="E624">
        <v>239</v>
      </c>
      <c r="F624">
        <v>0</v>
      </c>
      <c r="G624" t="s">
        <v>24</v>
      </c>
      <c r="H624">
        <v>142</v>
      </c>
      <c r="I624" t="s">
        <v>22</v>
      </c>
      <c r="J624">
        <v>1.2</v>
      </c>
      <c r="K624" t="s">
        <v>19</v>
      </c>
      <c r="L624">
        <v>1</v>
      </c>
    </row>
    <row r="625" spans="1:12" x14ac:dyDescent="0.3">
      <c r="A625">
        <v>60</v>
      </c>
      <c r="B625" t="s">
        <v>12</v>
      </c>
      <c r="C625" t="s">
        <v>21</v>
      </c>
      <c r="D625">
        <v>140</v>
      </c>
      <c r="E625">
        <v>293</v>
      </c>
      <c r="F625">
        <v>0</v>
      </c>
      <c r="G625" t="s">
        <v>24</v>
      </c>
      <c r="H625">
        <v>170</v>
      </c>
      <c r="I625" t="s">
        <v>15</v>
      </c>
      <c r="J625">
        <v>1.2</v>
      </c>
      <c r="K625" t="s">
        <v>19</v>
      </c>
      <c r="L625">
        <v>1</v>
      </c>
    </row>
    <row r="626" spans="1:12" x14ac:dyDescent="0.3">
      <c r="A626">
        <v>63</v>
      </c>
      <c r="B626" t="s">
        <v>17</v>
      </c>
      <c r="C626" t="s">
        <v>21</v>
      </c>
      <c r="D626">
        <v>150</v>
      </c>
      <c r="E626">
        <v>407</v>
      </c>
      <c r="F626">
        <v>0</v>
      </c>
      <c r="G626" t="s">
        <v>24</v>
      </c>
      <c r="H626">
        <v>154</v>
      </c>
      <c r="I626" t="s">
        <v>15</v>
      </c>
      <c r="J626">
        <v>4</v>
      </c>
      <c r="K626" t="s">
        <v>19</v>
      </c>
      <c r="L626">
        <v>1</v>
      </c>
    </row>
    <row r="627" spans="1:12" x14ac:dyDescent="0.3">
      <c r="A627">
        <v>59</v>
      </c>
      <c r="B627" t="s">
        <v>12</v>
      </c>
      <c r="C627" t="s">
        <v>21</v>
      </c>
      <c r="D627">
        <v>135</v>
      </c>
      <c r="E627">
        <v>234</v>
      </c>
      <c r="F627">
        <v>0</v>
      </c>
      <c r="G627" t="s">
        <v>14</v>
      </c>
      <c r="H627">
        <v>161</v>
      </c>
      <c r="I627" t="s">
        <v>15</v>
      </c>
      <c r="J627">
        <v>0.5</v>
      </c>
      <c r="K627" t="s">
        <v>19</v>
      </c>
      <c r="L627">
        <v>0</v>
      </c>
    </row>
    <row r="628" spans="1:12" x14ac:dyDescent="0.3">
      <c r="A628">
        <v>53</v>
      </c>
      <c r="B628" t="s">
        <v>12</v>
      </c>
      <c r="C628" t="s">
        <v>21</v>
      </c>
      <c r="D628">
        <v>142</v>
      </c>
      <c r="E628">
        <v>226</v>
      </c>
      <c r="F628">
        <v>0</v>
      </c>
      <c r="G628" t="s">
        <v>24</v>
      </c>
      <c r="H628">
        <v>111</v>
      </c>
      <c r="I628" t="s">
        <v>22</v>
      </c>
      <c r="J628">
        <v>0</v>
      </c>
      <c r="K628" t="s">
        <v>16</v>
      </c>
      <c r="L628">
        <v>0</v>
      </c>
    </row>
    <row r="629" spans="1:12" x14ac:dyDescent="0.3">
      <c r="A629">
        <v>44</v>
      </c>
      <c r="B629" t="s">
        <v>12</v>
      </c>
      <c r="C629" t="s">
        <v>18</v>
      </c>
      <c r="D629">
        <v>140</v>
      </c>
      <c r="E629">
        <v>235</v>
      </c>
      <c r="F629">
        <v>0</v>
      </c>
      <c r="G629" t="s">
        <v>24</v>
      </c>
      <c r="H629">
        <v>180</v>
      </c>
      <c r="I629" t="s">
        <v>15</v>
      </c>
      <c r="J629">
        <v>0</v>
      </c>
      <c r="K629" t="s">
        <v>16</v>
      </c>
      <c r="L629">
        <v>0</v>
      </c>
    </row>
    <row r="630" spans="1:12" x14ac:dyDescent="0.3">
      <c r="A630">
        <v>61</v>
      </c>
      <c r="B630" t="s">
        <v>12</v>
      </c>
      <c r="C630" t="s">
        <v>23</v>
      </c>
      <c r="D630">
        <v>134</v>
      </c>
      <c r="E630">
        <v>234</v>
      </c>
      <c r="F630">
        <v>0</v>
      </c>
      <c r="G630" t="s">
        <v>14</v>
      </c>
      <c r="H630">
        <v>145</v>
      </c>
      <c r="I630" t="s">
        <v>15</v>
      </c>
      <c r="J630">
        <v>2.6</v>
      </c>
      <c r="K630" t="s">
        <v>19</v>
      </c>
      <c r="L630">
        <v>1</v>
      </c>
    </row>
    <row r="631" spans="1:12" x14ac:dyDescent="0.3">
      <c r="A631">
        <v>57</v>
      </c>
      <c r="B631" t="s">
        <v>17</v>
      </c>
      <c r="C631" t="s">
        <v>21</v>
      </c>
      <c r="D631">
        <v>128</v>
      </c>
      <c r="E631">
        <v>303</v>
      </c>
      <c r="F631">
        <v>0</v>
      </c>
      <c r="G631" t="s">
        <v>24</v>
      </c>
      <c r="H631">
        <v>159</v>
      </c>
      <c r="I631" t="s">
        <v>15</v>
      </c>
      <c r="J631">
        <v>0</v>
      </c>
      <c r="K631" t="s">
        <v>16</v>
      </c>
      <c r="L631">
        <v>0</v>
      </c>
    </row>
    <row r="632" spans="1:12" x14ac:dyDescent="0.3">
      <c r="A632">
        <v>71</v>
      </c>
      <c r="B632" t="s">
        <v>17</v>
      </c>
      <c r="C632" t="s">
        <v>21</v>
      </c>
      <c r="D632">
        <v>112</v>
      </c>
      <c r="E632">
        <v>149</v>
      </c>
      <c r="F632">
        <v>0</v>
      </c>
      <c r="G632" t="s">
        <v>14</v>
      </c>
      <c r="H632">
        <v>125</v>
      </c>
      <c r="I632" t="s">
        <v>15</v>
      </c>
      <c r="J632">
        <v>1.6</v>
      </c>
      <c r="K632" t="s">
        <v>19</v>
      </c>
      <c r="L632">
        <v>0</v>
      </c>
    </row>
    <row r="633" spans="1:12" x14ac:dyDescent="0.3">
      <c r="A633">
        <v>46</v>
      </c>
      <c r="B633" t="s">
        <v>12</v>
      </c>
      <c r="C633" t="s">
        <v>21</v>
      </c>
      <c r="D633">
        <v>140</v>
      </c>
      <c r="E633">
        <v>311</v>
      </c>
      <c r="F633">
        <v>0</v>
      </c>
      <c r="G633" t="s">
        <v>14</v>
      </c>
      <c r="H633">
        <v>120</v>
      </c>
      <c r="I633" t="s">
        <v>22</v>
      </c>
      <c r="J633">
        <v>1.8</v>
      </c>
      <c r="K633" t="s">
        <v>19</v>
      </c>
      <c r="L633">
        <v>1</v>
      </c>
    </row>
    <row r="634" spans="1:12" x14ac:dyDescent="0.3">
      <c r="A634">
        <v>53</v>
      </c>
      <c r="B634" t="s">
        <v>12</v>
      </c>
      <c r="C634" t="s">
        <v>21</v>
      </c>
      <c r="D634">
        <v>140</v>
      </c>
      <c r="E634">
        <v>203</v>
      </c>
      <c r="F634">
        <v>1</v>
      </c>
      <c r="G634" t="s">
        <v>24</v>
      </c>
      <c r="H634">
        <v>155</v>
      </c>
      <c r="I634" t="s">
        <v>22</v>
      </c>
      <c r="J634">
        <v>3.1</v>
      </c>
      <c r="K634" t="s">
        <v>25</v>
      </c>
      <c r="L634">
        <v>1</v>
      </c>
    </row>
    <row r="635" spans="1:12" x14ac:dyDescent="0.3">
      <c r="A635">
        <v>64</v>
      </c>
      <c r="B635" t="s">
        <v>12</v>
      </c>
      <c r="C635" t="s">
        <v>23</v>
      </c>
      <c r="D635">
        <v>110</v>
      </c>
      <c r="E635">
        <v>211</v>
      </c>
      <c r="F635">
        <v>0</v>
      </c>
      <c r="G635" t="s">
        <v>24</v>
      </c>
      <c r="H635">
        <v>144</v>
      </c>
      <c r="I635" t="s">
        <v>22</v>
      </c>
      <c r="J635">
        <v>1.8</v>
      </c>
      <c r="K635" t="s">
        <v>19</v>
      </c>
      <c r="L635">
        <v>0</v>
      </c>
    </row>
    <row r="636" spans="1:12" x14ac:dyDescent="0.3">
      <c r="A636">
        <v>40</v>
      </c>
      <c r="B636" t="s">
        <v>12</v>
      </c>
      <c r="C636" t="s">
        <v>23</v>
      </c>
      <c r="D636">
        <v>140</v>
      </c>
      <c r="E636">
        <v>199</v>
      </c>
      <c r="F636">
        <v>0</v>
      </c>
      <c r="G636" t="s">
        <v>14</v>
      </c>
      <c r="H636">
        <v>178</v>
      </c>
      <c r="I636" t="s">
        <v>22</v>
      </c>
      <c r="J636">
        <v>1.4</v>
      </c>
      <c r="K636" t="s">
        <v>16</v>
      </c>
      <c r="L636">
        <v>0</v>
      </c>
    </row>
    <row r="637" spans="1:12" x14ac:dyDescent="0.3">
      <c r="A637">
        <v>67</v>
      </c>
      <c r="B637" t="s">
        <v>12</v>
      </c>
      <c r="C637" t="s">
        <v>21</v>
      </c>
      <c r="D637">
        <v>120</v>
      </c>
      <c r="E637">
        <v>229</v>
      </c>
      <c r="F637">
        <v>0</v>
      </c>
      <c r="G637" t="s">
        <v>24</v>
      </c>
      <c r="H637">
        <v>129</v>
      </c>
      <c r="I637" t="s">
        <v>22</v>
      </c>
      <c r="J637">
        <v>2.6</v>
      </c>
      <c r="K637" t="s">
        <v>19</v>
      </c>
      <c r="L637">
        <v>1</v>
      </c>
    </row>
    <row r="638" spans="1:12" x14ac:dyDescent="0.3">
      <c r="A638">
        <v>48</v>
      </c>
      <c r="B638" t="s">
        <v>12</v>
      </c>
      <c r="C638" t="s">
        <v>13</v>
      </c>
      <c r="D638">
        <v>130</v>
      </c>
      <c r="E638">
        <v>245</v>
      </c>
      <c r="F638">
        <v>0</v>
      </c>
      <c r="G638" t="s">
        <v>24</v>
      </c>
      <c r="H638">
        <v>180</v>
      </c>
      <c r="I638" t="s">
        <v>15</v>
      </c>
      <c r="J638">
        <v>0.2</v>
      </c>
      <c r="K638" t="s">
        <v>19</v>
      </c>
      <c r="L638">
        <v>0</v>
      </c>
    </row>
    <row r="639" spans="1:12" x14ac:dyDescent="0.3">
      <c r="A639">
        <v>43</v>
      </c>
      <c r="B639" t="s">
        <v>12</v>
      </c>
      <c r="C639" t="s">
        <v>21</v>
      </c>
      <c r="D639">
        <v>115</v>
      </c>
      <c r="E639">
        <v>303</v>
      </c>
      <c r="F639">
        <v>0</v>
      </c>
      <c r="G639" t="s">
        <v>14</v>
      </c>
      <c r="H639">
        <v>181</v>
      </c>
      <c r="I639" t="s">
        <v>15</v>
      </c>
      <c r="J639">
        <v>1.2</v>
      </c>
      <c r="K639" t="s">
        <v>19</v>
      </c>
      <c r="L639">
        <v>0</v>
      </c>
    </row>
    <row r="640" spans="1:12" x14ac:dyDescent="0.3">
      <c r="A640">
        <v>47</v>
      </c>
      <c r="B640" t="s">
        <v>12</v>
      </c>
      <c r="C640" t="s">
        <v>21</v>
      </c>
      <c r="D640">
        <v>112</v>
      </c>
      <c r="E640">
        <v>204</v>
      </c>
      <c r="F640">
        <v>0</v>
      </c>
      <c r="G640" t="s">
        <v>14</v>
      </c>
      <c r="H640">
        <v>143</v>
      </c>
      <c r="I640" t="s">
        <v>15</v>
      </c>
      <c r="J640">
        <v>0.1</v>
      </c>
      <c r="K640" t="s">
        <v>16</v>
      </c>
      <c r="L640">
        <v>0</v>
      </c>
    </row>
    <row r="641" spans="1:12" x14ac:dyDescent="0.3">
      <c r="A641">
        <v>54</v>
      </c>
      <c r="B641" t="s">
        <v>17</v>
      </c>
      <c r="C641" t="s">
        <v>13</v>
      </c>
      <c r="D641">
        <v>132</v>
      </c>
      <c r="E641">
        <v>288</v>
      </c>
      <c r="F641">
        <v>1</v>
      </c>
      <c r="G641" t="s">
        <v>24</v>
      </c>
      <c r="H641">
        <v>159</v>
      </c>
      <c r="I641" t="s">
        <v>22</v>
      </c>
      <c r="J641">
        <v>0</v>
      </c>
      <c r="K641" t="s">
        <v>16</v>
      </c>
      <c r="L641">
        <v>0</v>
      </c>
    </row>
    <row r="642" spans="1:12" x14ac:dyDescent="0.3">
      <c r="A642">
        <v>48</v>
      </c>
      <c r="B642" t="s">
        <v>17</v>
      </c>
      <c r="C642" t="s">
        <v>18</v>
      </c>
      <c r="D642">
        <v>130</v>
      </c>
      <c r="E642">
        <v>275</v>
      </c>
      <c r="F642">
        <v>0</v>
      </c>
      <c r="G642" t="s">
        <v>14</v>
      </c>
      <c r="H642">
        <v>139</v>
      </c>
      <c r="I642" t="s">
        <v>15</v>
      </c>
      <c r="J642">
        <v>0.2</v>
      </c>
      <c r="K642" t="s">
        <v>16</v>
      </c>
      <c r="L642">
        <v>0</v>
      </c>
    </row>
    <row r="643" spans="1:12" x14ac:dyDescent="0.3">
      <c r="A643">
        <v>46</v>
      </c>
      <c r="B643" t="s">
        <v>17</v>
      </c>
      <c r="C643" t="s">
        <v>21</v>
      </c>
      <c r="D643">
        <v>138</v>
      </c>
      <c r="E643">
        <v>243</v>
      </c>
      <c r="F643">
        <v>0</v>
      </c>
      <c r="G643" t="s">
        <v>24</v>
      </c>
      <c r="H643">
        <v>152</v>
      </c>
      <c r="I643" t="s">
        <v>22</v>
      </c>
      <c r="J643">
        <v>0</v>
      </c>
      <c r="K643" t="s">
        <v>19</v>
      </c>
      <c r="L643">
        <v>0</v>
      </c>
    </row>
    <row r="644" spans="1:12" x14ac:dyDescent="0.3">
      <c r="A644">
        <v>51</v>
      </c>
      <c r="B644" t="s">
        <v>17</v>
      </c>
      <c r="C644" t="s">
        <v>18</v>
      </c>
      <c r="D644">
        <v>120</v>
      </c>
      <c r="E644">
        <v>295</v>
      </c>
      <c r="F644">
        <v>0</v>
      </c>
      <c r="G644" t="s">
        <v>24</v>
      </c>
      <c r="H644">
        <v>157</v>
      </c>
      <c r="I644" t="s">
        <v>15</v>
      </c>
      <c r="J644">
        <v>0.6</v>
      </c>
      <c r="K644" t="s">
        <v>16</v>
      </c>
      <c r="L644">
        <v>0</v>
      </c>
    </row>
    <row r="645" spans="1:12" x14ac:dyDescent="0.3">
      <c r="A645">
        <v>58</v>
      </c>
      <c r="B645" t="s">
        <v>12</v>
      </c>
      <c r="C645" t="s">
        <v>18</v>
      </c>
      <c r="D645">
        <v>112</v>
      </c>
      <c r="E645">
        <v>230</v>
      </c>
      <c r="F645">
        <v>0</v>
      </c>
      <c r="G645" t="s">
        <v>24</v>
      </c>
      <c r="H645">
        <v>165</v>
      </c>
      <c r="I645" t="s">
        <v>15</v>
      </c>
      <c r="J645">
        <v>2.5</v>
      </c>
      <c r="K645" t="s">
        <v>19</v>
      </c>
      <c r="L645">
        <v>1</v>
      </c>
    </row>
    <row r="646" spans="1:12" x14ac:dyDescent="0.3">
      <c r="A646">
        <v>71</v>
      </c>
      <c r="B646" t="s">
        <v>17</v>
      </c>
      <c r="C646" t="s">
        <v>18</v>
      </c>
      <c r="D646">
        <v>110</v>
      </c>
      <c r="E646">
        <v>265</v>
      </c>
      <c r="F646">
        <v>1</v>
      </c>
      <c r="G646" t="s">
        <v>24</v>
      </c>
      <c r="H646">
        <v>130</v>
      </c>
      <c r="I646" t="s">
        <v>15</v>
      </c>
      <c r="J646">
        <v>0</v>
      </c>
      <c r="K646" t="s">
        <v>16</v>
      </c>
      <c r="L646">
        <v>0</v>
      </c>
    </row>
    <row r="647" spans="1:12" x14ac:dyDescent="0.3">
      <c r="A647">
        <v>57</v>
      </c>
      <c r="B647" t="s">
        <v>12</v>
      </c>
      <c r="C647" t="s">
        <v>18</v>
      </c>
      <c r="D647">
        <v>128</v>
      </c>
      <c r="E647">
        <v>229</v>
      </c>
      <c r="F647">
        <v>0</v>
      </c>
      <c r="G647" t="s">
        <v>24</v>
      </c>
      <c r="H647">
        <v>150</v>
      </c>
      <c r="I647" t="s">
        <v>15</v>
      </c>
      <c r="J647">
        <v>0.4</v>
      </c>
      <c r="K647" t="s">
        <v>19</v>
      </c>
      <c r="L647">
        <v>1</v>
      </c>
    </row>
    <row r="648" spans="1:12" x14ac:dyDescent="0.3">
      <c r="A648">
        <v>66</v>
      </c>
      <c r="B648" t="s">
        <v>12</v>
      </c>
      <c r="C648" t="s">
        <v>21</v>
      </c>
      <c r="D648">
        <v>160</v>
      </c>
      <c r="E648">
        <v>228</v>
      </c>
      <c r="F648">
        <v>0</v>
      </c>
      <c r="G648" t="s">
        <v>24</v>
      </c>
      <c r="H648">
        <v>138</v>
      </c>
      <c r="I648" t="s">
        <v>15</v>
      </c>
      <c r="J648">
        <v>2.2999999999999998</v>
      </c>
      <c r="K648" t="s">
        <v>16</v>
      </c>
      <c r="L648">
        <v>0</v>
      </c>
    </row>
    <row r="649" spans="1:12" x14ac:dyDescent="0.3">
      <c r="A649">
        <v>37</v>
      </c>
      <c r="B649" t="s">
        <v>17</v>
      </c>
      <c r="C649" t="s">
        <v>18</v>
      </c>
      <c r="D649">
        <v>120</v>
      </c>
      <c r="E649">
        <v>215</v>
      </c>
      <c r="F649">
        <v>0</v>
      </c>
      <c r="G649" t="s">
        <v>14</v>
      </c>
      <c r="H649">
        <v>170</v>
      </c>
      <c r="I649" t="s">
        <v>15</v>
      </c>
      <c r="J649">
        <v>0</v>
      </c>
      <c r="K649" t="s">
        <v>16</v>
      </c>
      <c r="L649">
        <v>0</v>
      </c>
    </row>
    <row r="650" spans="1:12" x14ac:dyDescent="0.3">
      <c r="A650">
        <v>59</v>
      </c>
      <c r="B650" t="s">
        <v>12</v>
      </c>
      <c r="C650" t="s">
        <v>21</v>
      </c>
      <c r="D650">
        <v>170</v>
      </c>
      <c r="E650">
        <v>326</v>
      </c>
      <c r="F650">
        <v>0</v>
      </c>
      <c r="G650" t="s">
        <v>24</v>
      </c>
      <c r="H650">
        <v>140</v>
      </c>
      <c r="I650" t="s">
        <v>22</v>
      </c>
      <c r="J650">
        <v>3.4</v>
      </c>
      <c r="K650" t="s">
        <v>25</v>
      </c>
      <c r="L650">
        <v>1</v>
      </c>
    </row>
    <row r="651" spans="1:12" x14ac:dyDescent="0.3">
      <c r="A651">
        <v>50</v>
      </c>
      <c r="B651" t="s">
        <v>12</v>
      </c>
      <c r="C651" t="s">
        <v>21</v>
      </c>
      <c r="D651">
        <v>144</v>
      </c>
      <c r="E651">
        <v>200</v>
      </c>
      <c r="F651">
        <v>0</v>
      </c>
      <c r="G651" t="s">
        <v>24</v>
      </c>
      <c r="H651">
        <v>126</v>
      </c>
      <c r="I651" t="s">
        <v>22</v>
      </c>
      <c r="J651">
        <v>0.9</v>
      </c>
      <c r="K651" t="s">
        <v>19</v>
      </c>
      <c r="L651">
        <v>1</v>
      </c>
    </row>
    <row r="652" spans="1:12" x14ac:dyDescent="0.3">
      <c r="A652">
        <v>48</v>
      </c>
      <c r="B652" t="s">
        <v>12</v>
      </c>
      <c r="C652" t="s">
        <v>21</v>
      </c>
      <c r="D652">
        <v>130</v>
      </c>
      <c r="E652">
        <v>256</v>
      </c>
      <c r="F652">
        <v>1</v>
      </c>
      <c r="G652" t="s">
        <v>24</v>
      </c>
      <c r="H652">
        <v>150</v>
      </c>
      <c r="I652" t="s">
        <v>22</v>
      </c>
      <c r="J652">
        <v>0</v>
      </c>
      <c r="K652" t="s">
        <v>16</v>
      </c>
      <c r="L652">
        <v>1</v>
      </c>
    </row>
    <row r="653" spans="1:12" x14ac:dyDescent="0.3">
      <c r="A653">
        <v>61</v>
      </c>
      <c r="B653" t="s">
        <v>12</v>
      </c>
      <c r="C653" t="s">
        <v>21</v>
      </c>
      <c r="D653">
        <v>140</v>
      </c>
      <c r="E653">
        <v>207</v>
      </c>
      <c r="F653">
        <v>0</v>
      </c>
      <c r="G653" t="s">
        <v>24</v>
      </c>
      <c r="H653">
        <v>138</v>
      </c>
      <c r="I653" t="s">
        <v>22</v>
      </c>
      <c r="J653">
        <v>1.9</v>
      </c>
      <c r="K653" t="s">
        <v>16</v>
      </c>
      <c r="L653">
        <v>1</v>
      </c>
    </row>
    <row r="654" spans="1:12" x14ac:dyDescent="0.3">
      <c r="A654">
        <v>59</v>
      </c>
      <c r="B654" t="s">
        <v>12</v>
      </c>
      <c r="C654" t="s">
        <v>23</v>
      </c>
      <c r="D654">
        <v>160</v>
      </c>
      <c r="E654">
        <v>273</v>
      </c>
      <c r="F654">
        <v>0</v>
      </c>
      <c r="G654" t="s">
        <v>24</v>
      </c>
      <c r="H654">
        <v>125</v>
      </c>
      <c r="I654" t="s">
        <v>15</v>
      </c>
      <c r="J654">
        <v>0</v>
      </c>
      <c r="K654" t="s">
        <v>16</v>
      </c>
      <c r="L654">
        <v>1</v>
      </c>
    </row>
    <row r="655" spans="1:12" x14ac:dyDescent="0.3">
      <c r="A655">
        <v>42</v>
      </c>
      <c r="B655" t="s">
        <v>12</v>
      </c>
      <c r="C655" t="s">
        <v>18</v>
      </c>
      <c r="D655">
        <v>130</v>
      </c>
      <c r="E655">
        <v>180</v>
      </c>
      <c r="F655">
        <v>0</v>
      </c>
      <c r="G655" t="s">
        <v>14</v>
      </c>
      <c r="H655">
        <v>150</v>
      </c>
      <c r="I655" t="s">
        <v>15</v>
      </c>
      <c r="J655">
        <v>0</v>
      </c>
      <c r="K655" t="s">
        <v>16</v>
      </c>
      <c r="L655">
        <v>0</v>
      </c>
    </row>
    <row r="656" spans="1:12" x14ac:dyDescent="0.3">
      <c r="A656">
        <v>48</v>
      </c>
      <c r="B656" t="s">
        <v>12</v>
      </c>
      <c r="C656" t="s">
        <v>21</v>
      </c>
      <c r="D656">
        <v>122</v>
      </c>
      <c r="E656">
        <v>222</v>
      </c>
      <c r="F656">
        <v>0</v>
      </c>
      <c r="G656" t="s">
        <v>24</v>
      </c>
      <c r="H656">
        <v>186</v>
      </c>
      <c r="I656" t="s">
        <v>15</v>
      </c>
      <c r="J656">
        <v>0</v>
      </c>
      <c r="K656" t="s">
        <v>16</v>
      </c>
      <c r="L656">
        <v>0</v>
      </c>
    </row>
    <row r="657" spans="1:12" x14ac:dyDescent="0.3">
      <c r="A657">
        <v>40</v>
      </c>
      <c r="B657" t="s">
        <v>12</v>
      </c>
      <c r="C657" t="s">
        <v>21</v>
      </c>
      <c r="D657">
        <v>152</v>
      </c>
      <c r="E657">
        <v>223</v>
      </c>
      <c r="F657">
        <v>0</v>
      </c>
      <c r="G657" t="s">
        <v>14</v>
      </c>
      <c r="H657">
        <v>181</v>
      </c>
      <c r="I657" t="s">
        <v>15</v>
      </c>
      <c r="J657">
        <v>0</v>
      </c>
      <c r="K657" t="s">
        <v>16</v>
      </c>
      <c r="L657">
        <v>1</v>
      </c>
    </row>
    <row r="658" spans="1:12" x14ac:dyDescent="0.3">
      <c r="A658">
        <v>62</v>
      </c>
      <c r="B658" t="s">
        <v>17</v>
      </c>
      <c r="C658" t="s">
        <v>21</v>
      </c>
      <c r="D658">
        <v>124</v>
      </c>
      <c r="E658">
        <v>209</v>
      </c>
      <c r="F658">
        <v>0</v>
      </c>
      <c r="G658" t="s">
        <v>14</v>
      </c>
      <c r="H658">
        <v>163</v>
      </c>
      <c r="I658" t="s">
        <v>15</v>
      </c>
      <c r="J658">
        <v>0</v>
      </c>
      <c r="K658" t="s">
        <v>16</v>
      </c>
      <c r="L658">
        <v>0</v>
      </c>
    </row>
    <row r="659" spans="1:12" x14ac:dyDescent="0.3">
      <c r="A659">
        <v>44</v>
      </c>
      <c r="B659" t="s">
        <v>12</v>
      </c>
      <c r="C659" t="s">
        <v>18</v>
      </c>
      <c r="D659">
        <v>130</v>
      </c>
      <c r="E659">
        <v>233</v>
      </c>
      <c r="F659">
        <v>0</v>
      </c>
      <c r="G659" t="s">
        <v>14</v>
      </c>
      <c r="H659">
        <v>179</v>
      </c>
      <c r="I659" t="s">
        <v>22</v>
      </c>
      <c r="J659">
        <v>0.4</v>
      </c>
      <c r="K659" t="s">
        <v>16</v>
      </c>
      <c r="L659">
        <v>0</v>
      </c>
    </row>
    <row r="660" spans="1:12" x14ac:dyDescent="0.3">
      <c r="A660">
        <v>46</v>
      </c>
      <c r="B660" t="s">
        <v>12</v>
      </c>
      <c r="C660" t="s">
        <v>13</v>
      </c>
      <c r="D660">
        <v>101</v>
      </c>
      <c r="E660">
        <v>197</v>
      </c>
      <c r="F660">
        <v>1</v>
      </c>
      <c r="G660" t="s">
        <v>14</v>
      </c>
      <c r="H660">
        <v>156</v>
      </c>
      <c r="I660" t="s">
        <v>15</v>
      </c>
      <c r="J660">
        <v>0</v>
      </c>
      <c r="K660" t="s">
        <v>16</v>
      </c>
      <c r="L660">
        <v>0</v>
      </c>
    </row>
    <row r="661" spans="1:12" x14ac:dyDescent="0.3">
      <c r="A661">
        <v>59</v>
      </c>
      <c r="B661" t="s">
        <v>12</v>
      </c>
      <c r="C661" t="s">
        <v>18</v>
      </c>
      <c r="D661">
        <v>126</v>
      </c>
      <c r="E661">
        <v>218</v>
      </c>
      <c r="F661">
        <v>1</v>
      </c>
      <c r="G661" t="s">
        <v>14</v>
      </c>
      <c r="H661">
        <v>134</v>
      </c>
      <c r="I661" t="s">
        <v>15</v>
      </c>
      <c r="J661">
        <v>2.2000000000000002</v>
      </c>
      <c r="K661" t="s">
        <v>19</v>
      </c>
      <c r="L661">
        <v>1</v>
      </c>
    </row>
    <row r="662" spans="1:12" x14ac:dyDescent="0.3">
      <c r="A662">
        <v>58</v>
      </c>
      <c r="B662" t="s">
        <v>12</v>
      </c>
      <c r="C662" t="s">
        <v>18</v>
      </c>
      <c r="D662">
        <v>140</v>
      </c>
      <c r="E662">
        <v>211</v>
      </c>
      <c r="F662">
        <v>1</v>
      </c>
      <c r="G662" t="s">
        <v>24</v>
      </c>
      <c r="H662">
        <v>165</v>
      </c>
      <c r="I662" t="s">
        <v>15</v>
      </c>
      <c r="J662">
        <v>0</v>
      </c>
      <c r="K662" t="s">
        <v>16</v>
      </c>
      <c r="L662">
        <v>0</v>
      </c>
    </row>
    <row r="663" spans="1:12" x14ac:dyDescent="0.3">
      <c r="A663">
        <v>49</v>
      </c>
      <c r="B663" t="s">
        <v>12</v>
      </c>
      <c r="C663" t="s">
        <v>18</v>
      </c>
      <c r="D663">
        <v>118</v>
      </c>
      <c r="E663">
        <v>149</v>
      </c>
      <c r="F663">
        <v>0</v>
      </c>
      <c r="G663" t="s">
        <v>24</v>
      </c>
      <c r="H663">
        <v>126</v>
      </c>
      <c r="I663" t="s">
        <v>15</v>
      </c>
      <c r="J663">
        <v>0.8</v>
      </c>
      <c r="K663" t="s">
        <v>16</v>
      </c>
      <c r="L663">
        <v>1</v>
      </c>
    </row>
    <row r="664" spans="1:12" x14ac:dyDescent="0.3">
      <c r="A664">
        <v>44</v>
      </c>
      <c r="B664" t="s">
        <v>12</v>
      </c>
      <c r="C664" t="s">
        <v>21</v>
      </c>
      <c r="D664">
        <v>110</v>
      </c>
      <c r="E664">
        <v>197</v>
      </c>
      <c r="F664">
        <v>0</v>
      </c>
      <c r="G664" t="s">
        <v>24</v>
      </c>
      <c r="H664">
        <v>177</v>
      </c>
      <c r="I664" t="s">
        <v>15</v>
      </c>
      <c r="J664">
        <v>0</v>
      </c>
      <c r="K664" t="s">
        <v>16</v>
      </c>
      <c r="L664">
        <v>1</v>
      </c>
    </row>
    <row r="665" spans="1:12" x14ac:dyDescent="0.3">
      <c r="A665">
        <v>66</v>
      </c>
      <c r="B665" t="s">
        <v>12</v>
      </c>
      <c r="C665" t="s">
        <v>13</v>
      </c>
      <c r="D665">
        <v>160</v>
      </c>
      <c r="E665">
        <v>246</v>
      </c>
      <c r="F665">
        <v>0</v>
      </c>
      <c r="G665" t="s">
        <v>14</v>
      </c>
      <c r="H665">
        <v>120</v>
      </c>
      <c r="I665" t="s">
        <v>22</v>
      </c>
      <c r="J665">
        <v>0</v>
      </c>
      <c r="K665" t="s">
        <v>19</v>
      </c>
      <c r="L665">
        <v>1</v>
      </c>
    </row>
    <row r="666" spans="1:12" x14ac:dyDescent="0.3">
      <c r="A666">
        <v>65</v>
      </c>
      <c r="B666" t="s">
        <v>17</v>
      </c>
      <c r="C666" t="s">
        <v>21</v>
      </c>
      <c r="D666">
        <v>150</v>
      </c>
      <c r="E666">
        <v>225</v>
      </c>
      <c r="F666">
        <v>0</v>
      </c>
      <c r="G666" t="s">
        <v>24</v>
      </c>
      <c r="H666">
        <v>114</v>
      </c>
      <c r="I666" t="s">
        <v>15</v>
      </c>
      <c r="J666">
        <v>1</v>
      </c>
      <c r="K666" t="s">
        <v>19</v>
      </c>
      <c r="L666">
        <v>1</v>
      </c>
    </row>
    <row r="667" spans="1:12" x14ac:dyDescent="0.3">
      <c r="A667">
        <v>42</v>
      </c>
      <c r="B667" t="s">
        <v>12</v>
      </c>
      <c r="C667" t="s">
        <v>21</v>
      </c>
      <c r="D667">
        <v>136</v>
      </c>
      <c r="E667">
        <v>315</v>
      </c>
      <c r="F667">
        <v>0</v>
      </c>
      <c r="G667" t="s">
        <v>14</v>
      </c>
      <c r="H667">
        <v>125</v>
      </c>
      <c r="I667" t="s">
        <v>22</v>
      </c>
      <c r="J667">
        <v>1.8</v>
      </c>
      <c r="K667" t="s">
        <v>19</v>
      </c>
      <c r="L667">
        <v>1</v>
      </c>
    </row>
    <row r="668" spans="1:12" x14ac:dyDescent="0.3">
      <c r="A668">
        <v>52</v>
      </c>
      <c r="B668" t="s">
        <v>12</v>
      </c>
      <c r="C668" t="s">
        <v>13</v>
      </c>
      <c r="D668">
        <v>128</v>
      </c>
      <c r="E668">
        <v>205</v>
      </c>
      <c r="F668">
        <v>1</v>
      </c>
      <c r="G668" t="s">
        <v>14</v>
      </c>
      <c r="H668">
        <v>184</v>
      </c>
      <c r="I668" t="s">
        <v>15</v>
      </c>
      <c r="J668">
        <v>0</v>
      </c>
      <c r="K668" t="s">
        <v>16</v>
      </c>
      <c r="L668">
        <v>0</v>
      </c>
    </row>
    <row r="669" spans="1:12" x14ac:dyDescent="0.3">
      <c r="A669">
        <v>65</v>
      </c>
      <c r="B669" t="s">
        <v>17</v>
      </c>
      <c r="C669" t="s">
        <v>18</v>
      </c>
      <c r="D669">
        <v>140</v>
      </c>
      <c r="E669">
        <v>417</v>
      </c>
      <c r="F669">
        <v>1</v>
      </c>
      <c r="G669" t="s">
        <v>24</v>
      </c>
      <c r="H669">
        <v>157</v>
      </c>
      <c r="I669" t="s">
        <v>15</v>
      </c>
      <c r="J669">
        <v>0.8</v>
      </c>
      <c r="K669" t="s">
        <v>16</v>
      </c>
      <c r="L669">
        <v>0</v>
      </c>
    </row>
    <row r="670" spans="1:12" x14ac:dyDescent="0.3">
      <c r="A670">
        <v>63</v>
      </c>
      <c r="B670" t="s">
        <v>17</v>
      </c>
      <c r="C670" t="s">
        <v>13</v>
      </c>
      <c r="D670">
        <v>140</v>
      </c>
      <c r="E670">
        <v>195</v>
      </c>
      <c r="F670">
        <v>0</v>
      </c>
      <c r="G670" t="s">
        <v>14</v>
      </c>
      <c r="H670">
        <v>179</v>
      </c>
      <c r="I670" t="s">
        <v>15</v>
      </c>
      <c r="J670">
        <v>0</v>
      </c>
      <c r="K670" t="s">
        <v>16</v>
      </c>
      <c r="L670">
        <v>0</v>
      </c>
    </row>
    <row r="671" spans="1:12" x14ac:dyDescent="0.3">
      <c r="A671">
        <v>45</v>
      </c>
      <c r="B671" t="s">
        <v>17</v>
      </c>
      <c r="C671" t="s">
        <v>13</v>
      </c>
      <c r="D671">
        <v>130</v>
      </c>
      <c r="E671">
        <v>234</v>
      </c>
      <c r="F671">
        <v>0</v>
      </c>
      <c r="G671" t="s">
        <v>24</v>
      </c>
      <c r="H671">
        <v>175</v>
      </c>
      <c r="I671" t="s">
        <v>15</v>
      </c>
      <c r="J671">
        <v>0.6</v>
      </c>
      <c r="K671" t="s">
        <v>19</v>
      </c>
      <c r="L671">
        <v>0</v>
      </c>
    </row>
    <row r="672" spans="1:12" x14ac:dyDescent="0.3">
      <c r="A672">
        <v>41</v>
      </c>
      <c r="B672" t="s">
        <v>17</v>
      </c>
      <c r="C672" t="s">
        <v>13</v>
      </c>
      <c r="D672">
        <v>105</v>
      </c>
      <c r="E672">
        <v>198</v>
      </c>
      <c r="F672">
        <v>0</v>
      </c>
      <c r="G672" t="s">
        <v>14</v>
      </c>
      <c r="H672">
        <v>168</v>
      </c>
      <c r="I672" t="s">
        <v>15</v>
      </c>
      <c r="J672">
        <v>0</v>
      </c>
      <c r="K672" t="s">
        <v>16</v>
      </c>
      <c r="L672">
        <v>0</v>
      </c>
    </row>
    <row r="673" spans="1:12" x14ac:dyDescent="0.3">
      <c r="A673">
        <v>61</v>
      </c>
      <c r="B673" t="s">
        <v>12</v>
      </c>
      <c r="C673" t="s">
        <v>21</v>
      </c>
      <c r="D673">
        <v>138</v>
      </c>
      <c r="E673">
        <v>166</v>
      </c>
      <c r="F673">
        <v>0</v>
      </c>
      <c r="G673" t="s">
        <v>24</v>
      </c>
      <c r="H673">
        <v>125</v>
      </c>
      <c r="I673" t="s">
        <v>22</v>
      </c>
      <c r="J673">
        <v>3.6</v>
      </c>
      <c r="K673" t="s">
        <v>19</v>
      </c>
      <c r="L673">
        <v>1</v>
      </c>
    </row>
    <row r="674" spans="1:12" x14ac:dyDescent="0.3">
      <c r="A674">
        <v>60</v>
      </c>
      <c r="B674" t="s">
        <v>17</v>
      </c>
      <c r="C674" t="s">
        <v>18</v>
      </c>
      <c r="D674">
        <v>120</v>
      </c>
      <c r="E674">
        <v>178</v>
      </c>
      <c r="F674">
        <v>1</v>
      </c>
      <c r="G674" t="s">
        <v>14</v>
      </c>
      <c r="H674">
        <v>96</v>
      </c>
      <c r="I674" t="s">
        <v>15</v>
      </c>
      <c r="J674">
        <v>0</v>
      </c>
      <c r="K674" t="s">
        <v>16</v>
      </c>
      <c r="L674">
        <v>0</v>
      </c>
    </row>
    <row r="675" spans="1:12" x14ac:dyDescent="0.3">
      <c r="A675">
        <v>59</v>
      </c>
      <c r="B675" t="s">
        <v>17</v>
      </c>
      <c r="C675" t="s">
        <v>21</v>
      </c>
      <c r="D675">
        <v>174</v>
      </c>
      <c r="E675">
        <v>249</v>
      </c>
      <c r="F675">
        <v>0</v>
      </c>
      <c r="G675" t="s">
        <v>14</v>
      </c>
      <c r="H675">
        <v>143</v>
      </c>
      <c r="I675" t="s">
        <v>22</v>
      </c>
      <c r="J675">
        <v>0</v>
      </c>
      <c r="K675" t="s">
        <v>19</v>
      </c>
      <c r="L675">
        <v>1</v>
      </c>
    </row>
    <row r="676" spans="1:12" x14ac:dyDescent="0.3">
      <c r="A676">
        <v>62</v>
      </c>
      <c r="B676" t="s">
        <v>12</v>
      </c>
      <c r="C676" t="s">
        <v>13</v>
      </c>
      <c r="D676">
        <v>120</v>
      </c>
      <c r="E676">
        <v>281</v>
      </c>
      <c r="F676">
        <v>0</v>
      </c>
      <c r="G676" t="s">
        <v>24</v>
      </c>
      <c r="H676">
        <v>103</v>
      </c>
      <c r="I676" t="s">
        <v>15</v>
      </c>
      <c r="J676">
        <v>1.4</v>
      </c>
      <c r="K676" t="s">
        <v>19</v>
      </c>
      <c r="L676">
        <v>1</v>
      </c>
    </row>
    <row r="677" spans="1:12" x14ac:dyDescent="0.3">
      <c r="A677">
        <v>57</v>
      </c>
      <c r="B677" t="s">
        <v>12</v>
      </c>
      <c r="C677" t="s">
        <v>18</v>
      </c>
      <c r="D677">
        <v>150</v>
      </c>
      <c r="E677">
        <v>126</v>
      </c>
      <c r="F677">
        <v>1</v>
      </c>
      <c r="G677" t="s">
        <v>14</v>
      </c>
      <c r="H677">
        <v>173</v>
      </c>
      <c r="I677" t="s">
        <v>15</v>
      </c>
      <c r="J677">
        <v>0.2</v>
      </c>
      <c r="K677" t="s">
        <v>16</v>
      </c>
      <c r="L677">
        <v>0</v>
      </c>
    </row>
    <row r="678" spans="1:12" x14ac:dyDescent="0.3">
      <c r="A678">
        <v>51</v>
      </c>
      <c r="B678" t="s">
        <v>17</v>
      </c>
      <c r="C678" t="s">
        <v>21</v>
      </c>
      <c r="D678">
        <v>130</v>
      </c>
      <c r="E678">
        <v>305</v>
      </c>
      <c r="F678">
        <v>0</v>
      </c>
      <c r="G678" t="s">
        <v>14</v>
      </c>
      <c r="H678">
        <v>142</v>
      </c>
      <c r="I678" t="s">
        <v>22</v>
      </c>
      <c r="J678">
        <v>1.2</v>
      </c>
      <c r="K678" t="s">
        <v>19</v>
      </c>
      <c r="L678">
        <v>1</v>
      </c>
    </row>
    <row r="679" spans="1:12" x14ac:dyDescent="0.3">
      <c r="A679">
        <v>44</v>
      </c>
      <c r="B679" t="s">
        <v>12</v>
      </c>
      <c r="C679" t="s">
        <v>18</v>
      </c>
      <c r="D679">
        <v>120</v>
      </c>
      <c r="E679">
        <v>226</v>
      </c>
      <c r="F679">
        <v>0</v>
      </c>
      <c r="G679" t="s">
        <v>14</v>
      </c>
      <c r="H679">
        <v>169</v>
      </c>
      <c r="I679" t="s">
        <v>15</v>
      </c>
      <c r="J679">
        <v>0</v>
      </c>
      <c r="K679" t="s">
        <v>16</v>
      </c>
      <c r="L679">
        <v>0</v>
      </c>
    </row>
    <row r="680" spans="1:12" x14ac:dyDescent="0.3">
      <c r="A680">
        <v>60</v>
      </c>
      <c r="B680" t="s">
        <v>17</v>
      </c>
      <c r="C680" t="s">
        <v>23</v>
      </c>
      <c r="D680">
        <v>150</v>
      </c>
      <c r="E680">
        <v>240</v>
      </c>
      <c r="F680">
        <v>0</v>
      </c>
      <c r="G680" t="s">
        <v>14</v>
      </c>
      <c r="H680">
        <v>171</v>
      </c>
      <c r="I680" t="s">
        <v>15</v>
      </c>
      <c r="J680">
        <v>0.9</v>
      </c>
      <c r="K680" t="s">
        <v>16</v>
      </c>
      <c r="L680">
        <v>0</v>
      </c>
    </row>
    <row r="681" spans="1:12" x14ac:dyDescent="0.3">
      <c r="A681">
        <v>63</v>
      </c>
      <c r="B681" t="s">
        <v>12</v>
      </c>
      <c r="C681" t="s">
        <v>23</v>
      </c>
      <c r="D681">
        <v>145</v>
      </c>
      <c r="E681">
        <v>233</v>
      </c>
      <c r="F681">
        <v>1</v>
      </c>
      <c r="G681" t="s">
        <v>24</v>
      </c>
      <c r="H681">
        <v>150</v>
      </c>
      <c r="I681" t="s">
        <v>15</v>
      </c>
      <c r="J681">
        <v>2.2999999999999998</v>
      </c>
      <c r="K681" t="s">
        <v>25</v>
      </c>
      <c r="L681">
        <v>0</v>
      </c>
    </row>
    <row r="682" spans="1:12" x14ac:dyDescent="0.3">
      <c r="A682">
        <v>57</v>
      </c>
      <c r="B682" t="s">
        <v>12</v>
      </c>
      <c r="C682" t="s">
        <v>21</v>
      </c>
      <c r="D682">
        <v>150</v>
      </c>
      <c r="E682">
        <v>276</v>
      </c>
      <c r="F682">
        <v>0</v>
      </c>
      <c r="G682" t="s">
        <v>24</v>
      </c>
      <c r="H682">
        <v>112</v>
      </c>
      <c r="I682" t="s">
        <v>22</v>
      </c>
      <c r="J682">
        <v>0.6</v>
      </c>
      <c r="K682" t="s">
        <v>19</v>
      </c>
      <c r="L682">
        <v>1</v>
      </c>
    </row>
    <row r="683" spans="1:12" x14ac:dyDescent="0.3">
      <c r="A683">
        <v>51</v>
      </c>
      <c r="B683" t="s">
        <v>12</v>
      </c>
      <c r="C683" t="s">
        <v>21</v>
      </c>
      <c r="D683">
        <v>140</v>
      </c>
      <c r="E683">
        <v>261</v>
      </c>
      <c r="F683">
        <v>0</v>
      </c>
      <c r="G683" t="s">
        <v>24</v>
      </c>
      <c r="H683">
        <v>186</v>
      </c>
      <c r="I683" t="s">
        <v>22</v>
      </c>
      <c r="J683">
        <v>0</v>
      </c>
      <c r="K683" t="s">
        <v>16</v>
      </c>
      <c r="L683">
        <v>0</v>
      </c>
    </row>
    <row r="684" spans="1:12" x14ac:dyDescent="0.3">
      <c r="A684">
        <v>58</v>
      </c>
      <c r="B684" t="s">
        <v>17</v>
      </c>
      <c r="C684" t="s">
        <v>13</v>
      </c>
      <c r="D684">
        <v>136</v>
      </c>
      <c r="E684">
        <v>319</v>
      </c>
      <c r="F684">
        <v>1</v>
      </c>
      <c r="G684" t="s">
        <v>24</v>
      </c>
      <c r="H684">
        <v>152</v>
      </c>
      <c r="I684" t="s">
        <v>15</v>
      </c>
      <c r="J684">
        <v>0</v>
      </c>
      <c r="K684" t="s">
        <v>16</v>
      </c>
      <c r="L684">
        <v>1</v>
      </c>
    </row>
    <row r="685" spans="1:12" x14ac:dyDescent="0.3">
      <c r="A685">
        <v>44</v>
      </c>
      <c r="B685" t="s">
        <v>17</v>
      </c>
      <c r="C685" t="s">
        <v>18</v>
      </c>
      <c r="D685">
        <v>118</v>
      </c>
      <c r="E685">
        <v>242</v>
      </c>
      <c r="F685">
        <v>0</v>
      </c>
      <c r="G685" t="s">
        <v>14</v>
      </c>
      <c r="H685">
        <v>149</v>
      </c>
      <c r="I685" t="s">
        <v>15</v>
      </c>
      <c r="J685">
        <v>0.3</v>
      </c>
      <c r="K685" t="s">
        <v>19</v>
      </c>
      <c r="L685">
        <v>0</v>
      </c>
    </row>
    <row r="686" spans="1:12" x14ac:dyDescent="0.3">
      <c r="A686">
        <v>47</v>
      </c>
      <c r="B686" t="s">
        <v>12</v>
      </c>
      <c r="C686" t="s">
        <v>18</v>
      </c>
      <c r="D686">
        <v>108</v>
      </c>
      <c r="E686">
        <v>243</v>
      </c>
      <c r="F686">
        <v>0</v>
      </c>
      <c r="G686" t="s">
        <v>14</v>
      </c>
      <c r="H686">
        <v>152</v>
      </c>
      <c r="I686" t="s">
        <v>15</v>
      </c>
      <c r="J686">
        <v>0</v>
      </c>
      <c r="K686" t="s">
        <v>16</v>
      </c>
      <c r="L686">
        <v>1</v>
      </c>
    </row>
    <row r="687" spans="1:12" x14ac:dyDescent="0.3">
      <c r="A687">
        <v>61</v>
      </c>
      <c r="B687" t="s">
        <v>12</v>
      </c>
      <c r="C687" t="s">
        <v>21</v>
      </c>
      <c r="D687">
        <v>120</v>
      </c>
      <c r="E687">
        <v>260</v>
      </c>
      <c r="F687">
        <v>0</v>
      </c>
      <c r="G687" t="s">
        <v>14</v>
      </c>
      <c r="H687">
        <v>140</v>
      </c>
      <c r="I687" t="s">
        <v>22</v>
      </c>
      <c r="J687">
        <v>3.6</v>
      </c>
      <c r="K687" t="s">
        <v>19</v>
      </c>
      <c r="L687">
        <v>1</v>
      </c>
    </row>
    <row r="688" spans="1:12" x14ac:dyDescent="0.3">
      <c r="A688">
        <v>57</v>
      </c>
      <c r="B688" t="s">
        <v>17</v>
      </c>
      <c r="C688" t="s">
        <v>21</v>
      </c>
      <c r="D688">
        <v>120</v>
      </c>
      <c r="E688">
        <v>354</v>
      </c>
      <c r="F688">
        <v>0</v>
      </c>
      <c r="G688" t="s">
        <v>14</v>
      </c>
      <c r="H688">
        <v>163</v>
      </c>
      <c r="I688" t="s">
        <v>22</v>
      </c>
      <c r="J688">
        <v>0.6</v>
      </c>
      <c r="K688" t="s">
        <v>16</v>
      </c>
      <c r="L688">
        <v>0</v>
      </c>
    </row>
    <row r="689" spans="1:12" x14ac:dyDescent="0.3">
      <c r="A689">
        <v>70</v>
      </c>
      <c r="B689" t="s">
        <v>12</v>
      </c>
      <c r="C689" t="s">
        <v>13</v>
      </c>
      <c r="D689">
        <v>156</v>
      </c>
      <c r="E689">
        <v>245</v>
      </c>
      <c r="F689">
        <v>0</v>
      </c>
      <c r="G689" t="s">
        <v>24</v>
      </c>
      <c r="H689">
        <v>143</v>
      </c>
      <c r="I689" t="s">
        <v>15</v>
      </c>
      <c r="J689">
        <v>0</v>
      </c>
      <c r="K689" t="s">
        <v>16</v>
      </c>
      <c r="L689">
        <v>0</v>
      </c>
    </row>
    <row r="690" spans="1:12" x14ac:dyDescent="0.3">
      <c r="A690">
        <v>76</v>
      </c>
      <c r="B690" t="s">
        <v>17</v>
      </c>
      <c r="C690" t="s">
        <v>18</v>
      </c>
      <c r="D690">
        <v>140</v>
      </c>
      <c r="E690">
        <v>197</v>
      </c>
      <c r="F690">
        <v>0</v>
      </c>
      <c r="G690" t="s">
        <v>20</v>
      </c>
      <c r="H690">
        <v>116</v>
      </c>
      <c r="I690" t="s">
        <v>15</v>
      </c>
      <c r="J690">
        <v>1.1000000000000001</v>
      </c>
      <c r="K690" t="s">
        <v>19</v>
      </c>
      <c r="L690">
        <v>0</v>
      </c>
    </row>
    <row r="691" spans="1:12" x14ac:dyDescent="0.3">
      <c r="A691">
        <v>67</v>
      </c>
      <c r="B691" t="s">
        <v>17</v>
      </c>
      <c r="C691" t="s">
        <v>21</v>
      </c>
      <c r="D691">
        <v>106</v>
      </c>
      <c r="E691">
        <v>223</v>
      </c>
      <c r="F691">
        <v>0</v>
      </c>
      <c r="G691" t="s">
        <v>14</v>
      </c>
      <c r="H691">
        <v>142</v>
      </c>
      <c r="I691" t="s">
        <v>15</v>
      </c>
      <c r="J691">
        <v>0.3</v>
      </c>
      <c r="K691" t="s">
        <v>16</v>
      </c>
      <c r="L691">
        <v>0</v>
      </c>
    </row>
    <row r="692" spans="1:12" x14ac:dyDescent="0.3">
      <c r="A692">
        <v>45</v>
      </c>
      <c r="B692" t="s">
        <v>12</v>
      </c>
      <c r="C692" t="s">
        <v>21</v>
      </c>
      <c r="D692">
        <v>142</v>
      </c>
      <c r="E692">
        <v>309</v>
      </c>
      <c r="F692">
        <v>0</v>
      </c>
      <c r="G692" t="s">
        <v>24</v>
      </c>
      <c r="H692">
        <v>147</v>
      </c>
      <c r="I692" t="s">
        <v>22</v>
      </c>
      <c r="J692">
        <v>0</v>
      </c>
      <c r="K692" t="s">
        <v>19</v>
      </c>
      <c r="L692">
        <v>1</v>
      </c>
    </row>
    <row r="693" spans="1:12" x14ac:dyDescent="0.3">
      <c r="A693">
        <v>45</v>
      </c>
      <c r="B693" t="s">
        <v>12</v>
      </c>
      <c r="C693" t="s">
        <v>21</v>
      </c>
      <c r="D693">
        <v>104</v>
      </c>
      <c r="E693">
        <v>208</v>
      </c>
      <c r="F693">
        <v>0</v>
      </c>
      <c r="G693" t="s">
        <v>24</v>
      </c>
      <c r="H693">
        <v>148</v>
      </c>
      <c r="I693" t="s">
        <v>22</v>
      </c>
      <c r="J693">
        <v>3</v>
      </c>
      <c r="K693" t="s">
        <v>19</v>
      </c>
      <c r="L693">
        <v>0</v>
      </c>
    </row>
    <row r="694" spans="1:12" x14ac:dyDescent="0.3">
      <c r="A694">
        <v>39</v>
      </c>
      <c r="B694" t="s">
        <v>17</v>
      </c>
      <c r="C694" t="s">
        <v>18</v>
      </c>
      <c r="D694">
        <v>94</v>
      </c>
      <c r="E694">
        <v>199</v>
      </c>
      <c r="F694">
        <v>0</v>
      </c>
      <c r="G694" t="s">
        <v>14</v>
      </c>
      <c r="H694">
        <v>179</v>
      </c>
      <c r="I694" t="s">
        <v>15</v>
      </c>
      <c r="J694">
        <v>0</v>
      </c>
      <c r="K694" t="s">
        <v>16</v>
      </c>
      <c r="L694">
        <v>0</v>
      </c>
    </row>
    <row r="695" spans="1:12" x14ac:dyDescent="0.3">
      <c r="A695">
        <v>42</v>
      </c>
      <c r="B695" t="s">
        <v>17</v>
      </c>
      <c r="C695" t="s">
        <v>18</v>
      </c>
      <c r="D695">
        <v>120</v>
      </c>
      <c r="E695">
        <v>209</v>
      </c>
      <c r="F695">
        <v>0</v>
      </c>
      <c r="G695" t="s">
        <v>14</v>
      </c>
      <c r="H695">
        <v>173</v>
      </c>
      <c r="I695" t="s">
        <v>15</v>
      </c>
      <c r="J695">
        <v>0</v>
      </c>
      <c r="K695" t="s">
        <v>19</v>
      </c>
      <c r="L695">
        <v>0</v>
      </c>
    </row>
    <row r="696" spans="1:12" x14ac:dyDescent="0.3">
      <c r="A696">
        <v>56</v>
      </c>
      <c r="B696" t="s">
        <v>12</v>
      </c>
      <c r="C696" t="s">
        <v>13</v>
      </c>
      <c r="D696">
        <v>120</v>
      </c>
      <c r="E696">
        <v>236</v>
      </c>
      <c r="F696">
        <v>0</v>
      </c>
      <c r="G696" t="s">
        <v>14</v>
      </c>
      <c r="H696">
        <v>178</v>
      </c>
      <c r="I696" t="s">
        <v>15</v>
      </c>
      <c r="J696">
        <v>0.8</v>
      </c>
      <c r="K696" t="s">
        <v>16</v>
      </c>
      <c r="L696">
        <v>0</v>
      </c>
    </row>
    <row r="697" spans="1:12" x14ac:dyDescent="0.3">
      <c r="A697">
        <v>58</v>
      </c>
      <c r="B697" t="s">
        <v>12</v>
      </c>
      <c r="C697" t="s">
        <v>21</v>
      </c>
      <c r="D697">
        <v>146</v>
      </c>
      <c r="E697">
        <v>218</v>
      </c>
      <c r="F697">
        <v>0</v>
      </c>
      <c r="G697" t="s">
        <v>14</v>
      </c>
      <c r="H697">
        <v>105</v>
      </c>
      <c r="I697" t="s">
        <v>15</v>
      </c>
      <c r="J697">
        <v>2</v>
      </c>
      <c r="K697" t="s">
        <v>19</v>
      </c>
      <c r="L697">
        <v>1</v>
      </c>
    </row>
    <row r="698" spans="1:12" x14ac:dyDescent="0.3">
      <c r="A698">
        <v>35</v>
      </c>
      <c r="B698" t="s">
        <v>12</v>
      </c>
      <c r="C698" t="s">
        <v>21</v>
      </c>
      <c r="D698">
        <v>120</v>
      </c>
      <c r="E698">
        <v>198</v>
      </c>
      <c r="F698">
        <v>0</v>
      </c>
      <c r="G698" t="s">
        <v>14</v>
      </c>
      <c r="H698">
        <v>130</v>
      </c>
      <c r="I698" t="s">
        <v>22</v>
      </c>
      <c r="J698">
        <v>1.6</v>
      </c>
      <c r="K698" t="s">
        <v>19</v>
      </c>
      <c r="L698">
        <v>1</v>
      </c>
    </row>
    <row r="699" spans="1:12" x14ac:dyDescent="0.3">
      <c r="A699">
        <v>58</v>
      </c>
      <c r="B699" t="s">
        <v>12</v>
      </c>
      <c r="C699" t="s">
        <v>21</v>
      </c>
      <c r="D699">
        <v>150</v>
      </c>
      <c r="E699">
        <v>270</v>
      </c>
      <c r="F699">
        <v>0</v>
      </c>
      <c r="G699" t="s">
        <v>24</v>
      </c>
      <c r="H699">
        <v>111</v>
      </c>
      <c r="I699" t="s">
        <v>22</v>
      </c>
      <c r="J699">
        <v>0.8</v>
      </c>
      <c r="K699" t="s">
        <v>16</v>
      </c>
      <c r="L699">
        <v>1</v>
      </c>
    </row>
    <row r="700" spans="1:12" x14ac:dyDescent="0.3">
      <c r="A700">
        <v>41</v>
      </c>
      <c r="B700" t="s">
        <v>12</v>
      </c>
      <c r="C700" t="s">
        <v>18</v>
      </c>
      <c r="D700">
        <v>130</v>
      </c>
      <c r="E700">
        <v>214</v>
      </c>
      <c r="F700">
        <v>0</v>
      </c>
      <c r="G700" t="s">
        <v>24</v>
      </c>
      <c r="H700">
        <v>168</v>
      </c>
      <c r="I700" t="s">
        <v>15</v>
      </c>
      <c r="J700">
        <v>2</v>
      </c>
      <c r="K700" t="s">
        <v>19</v>
      </c>
      <c r="L700">
        <v>0</v>
      </c>
    </row>
    <row r="701" spans="1:12" x14ac:dyDescent="0.3">
      <c r="A701">
        <v>57</v>
      </c>
      <c r="B701" t="s">
        <v>12</v>
      </c>
      <c r="C701" t="s">
        <v>21</v>
      </c>
      <c r="D701">
        <v>110</v>
      </c>
      <c r="E701">
        <v>201</v>
      </c>
      <c r="F701">
        <v>0</v>
      </c>
      <c r="G701" t="s">
        <v>14</v>
      </c>
      <c r="H701">
        <v>126</v>
      </c>
      <c r="I701" t="s">
        <v>22</v>
      </c>
      <c r="J701">
        <v>1.5</v>
      </c>
      <c r="K701" t="s">
        <v>19</v>
      </c>
      <c r="L701">
        <v>0</v>
      </c>
    </row>
    <row r="702" spans="1:12" x14ac:dyDescent="0.3">
      <c r="A702">
        <v>42</v>
      </c>
      <c r="B702" t="s">
        <v>12</v>
      </c>
      <c r="C702" t="s">
        <v>23</v>
      </c>
      <c r="D702">
        <v>148</v>
      </c>
      <c r="E702">
        <v>244</v>
      </c>
      <c r="F702">
        <v>0</v>
      </c>
      <c r="G702" t="s">
        <v>24</v>
      </c>
      <c r="H702">
        <v>178</v>
      </c>
      <c r="I702" t="s">
        <v>15</v>
      </c>
      <c r="J702">
        <v>0.8</v>
      </c>
      <c r="K702" t="s">
        <v>16</v>
      </c>
      <c r="L702">
        <v>0</v>
      </c>
    </row>
    <row r="703" spans="1:12" x14ac:dyDescent="0.3">
      <c r="A703">
        <v>62</v>
      </c>
      <c r="B703" t="s">
        <v>12</v>
      </c>
      <c r="C703" t="s">
        <v>13</v>
      </c>
      <c r="D703">
        <v>128</v>
      </c>
      <c r="E703">
        <v>208</v>
      </c>
      <c r="F703">
        <v>1</v>
      </c>
      <c r="G703" t="s">
        <v>24</v>
      </c>
      <c r="H703">
        <v>140</v>
      </c>
      <c r="I703" t="s">
        <v>15</v>
      </c>
      <c r="J703">
        <v>0</v>
      </c>
      <c r="K703" t="s">
        <v>16</v>
      </c>
      <c r="L703">
        <v>0</v>
      </c>
    </row>
    <row r="704" spans="1:12" x14ac:dyDescent="0.3">
      <c r="A704">
        <v>59</v>
      </c>
      <c r="B704" t="s">
        <v>12</v>
      </c>
      <c r="C704" t="s">
        <v>23</v>
      </c>
      <c r="D704">
        <v>178</v>
      </c>
      <c r="E704">
        <v>270</v>
      </c>
      <c r="F704">
        <v>0</v>
      </c>
      <c r="G704" t="s">
        <v>24</v>
      </c>
      <c r="H704">
        <v>145</v>
      </c>
      <c r="I704" t="s">
        <v>15</v>
      </c>
      <c r="J704">
        <v>4.2</v>
      </c>
      <c r="K704" t="s">
        <v>25</v>
      </c>
      <c r="L704">
        <v>0</v>
      </c>
    </row>
    <row r="705" spans="1:12" x14ac:dyDescent="0.3">
      <c r="A705">
        <v>41</v>
      </c>
      <c r="B705" t="s">
        <v>17</v>
      </c>
      <c r="C705" t="s">
        <v>13</v>
      </c>
      <c r="D705">
        <v>126</v>
      </c>
      <c r="E705">
        <v>306</v>
      </c>
      <c r="F705">
        <v>0</v>
      </c>
      <c r="G705" t="s">
        <v>14</v>
      </c>
      <c r="H705">
        <v>163</v>
      </c>
      <c r="I705" t="s">
        <v>15</v>
      </c>
      <c r="J705">
        <v>0</v>
      </c>
      <c r="K705" t="s">
        <v>16</v>
      </c>
      <c r="L705">
        <v>0</v>
      </c>
    </row>
    <row r="706" spans="1:12" x14ac:dyDescent="0.3">
      <c r="A706">
        <v>50</v>
      </c>
      <c r="B706" t="s">
        <v>12</v>
      </c>
      <c r="C706" t="s">
        <v>21</v>
      </c>
      <c r="D706">
        <v>150</v>
      </c>
      <c r="E706">
        <v>243</v>
      </c>
      <c r="F706">
        <v>0</v>
      </c>
      <c r="G706" t="s">
        <v>24</v>
      </c>
      <c r="H706">
        <v>128</v>
      </c>
      <c r="I706" t="s">
        <v>15</v>
      </c>
      <c r="J706">
        <v>2.6</v>
      </c>
      <c r="K706" t="s">
        <v>19</v>
      </c>
      <c r="L706">
        <v>1</v>
      </c>
    </row>
    <row r="707" spans="1:12" x14ac:dyDescent="0.3">
      <c r="A707">
        <v>59</v>
      </c>
      <c r="B707" t="s">
        <v>12</v>
      </c>
      <c r="C707" t="s">
        <v>13</v>
      </c>
      <c r="D707">
        <v>140</v>
      </c>
      <c r="E707">
        <v>221</v>
      </c>
      <c r="F707">
        <v>0</v>
      </c>
      <c r="G707" t="s">
        <v>14</v>
      </c>
      <c r="H707">
        <v>164</v>
      </c>
      <c r="I707" t="s">
        <v>22</v>
      </c>
      <c r="J707">
        <v>0</v>
      </c>
      <c r="K707" t="s">
        <v>16</v>
      </c>
      <c r="L707">
        <v>0</v>
      </c>
    </row>
    <row r="708" spans="1:12" x14ac:dyDescent="0.3">
      <c r="A708">
        <v>61</v>
      </c>
      <c r="B708" t="s">
        <v>17</v>
      </c>
      <c r="C708" t="s">
        <v>21</v>
      </c>
      <c r="D708">
        <v>130</v>
      </c>
      <c r="E708">
        <v>330</v>
      </c>
      <c r="F708">
        <v>0</v>
      </c>
      <c r="G708" t="s">
        <v>24</v>
      </c>
      <c r="H708">
        <v>169</v>
      </c>
      <c r="I708" t="s">
        <v>15</v>
      </c>
      <c r="J708">
        <v>0</v>
      </c>
      <c r="K708" t="s">
        <v>16</v>
      </c>
      <c r="L708">
        <v>1</v>
      </c>
    </row>
    <row r="709" spans="1:12" x14ac:dyDescent="0.3">
      <c r="A709">
        <v>54</v>
      </c>
      <c r="B709" t="s">
        <v>12</v>
      </c>
      <c r="C709" t="s">
        <v>21</v>
      </c>
      <c r="D709">
        <v>124</v>
      </c>
      <c r="E709">
        <v>266</v>
      </c>
      <c r="F709">
        <v>0</v>
      </c>
      <c r="G709" t="s">
        <v>24</v>
      </c>
      <c r="H709">
        <v>109</v>
      </c>
      <c r="I709" t="s">
        <v>22</v>
      </c>
      <c r="J709">
        <v>2.2000000000000002</v>
      </c>
      <c r="K709" t="s">
        <v>19</v>
      </c>
      <c r="L709">
        <v>1</v>
      </c>
    </row>
    <row r="710" spans="1:12" x14ac:dyDescent="0.3">
      <c r="A710">
        <v>54</v>
      </c>
      <c r="B710" t="s">
        <v>12</v>
      </c>
      <c r="C710" t="s">
        <v>21</v>
      </c>
      <c r="D710">
        <v>110</v>
      </c>
      <c r="E710">
        <v>206</v>
      </c>
      <c r="F710">
        <v>0</v>
      </c>
      <c r="G710" t="s">
        <v>24</v>
      </c>
      <c r="H710">
        <v>108</v>
      </c>
      <c r="I710" t="s">
        <v>22</v>
      </c>
      <c r="J710">
        <v>0</v>
      </c>
      <c r="K710" t="s">
        <v>19</v>
      </c>
      <c r="L710">
        <v>1</v>
      </c>
    </row>
    <row r="711" spans="1:12" x14ac:dyDescent="0.3">
      <c r="A711">
        <v>52</v>
      </c>
      <c r="B711" t="s">
        <v>12</v>
      </c>
      <c r="C711" t="s">
        <v>21</v>
      </c>
      <c r="D711">
        <v>125</v>
      </c>
      <c r="E711">
        <v>212</v>
      </c>
      <c r="F711">
        <v>0</v>
      </c>
      <c r="G711" t="s">
        <v>14</v>
      </c>
      <c r="H711">
        <v>168</v>
      </c>
      <c r="I711" t="s">
        <v>15</v>
      </c>
      <c r="J711">
        <v>1</v>
      </c>
      <c r="K711" t="s">
        <v>16</v>
      </c>
      <c r="L711">
        <v>1</v>
      </c>
    </row>
    <row r="712" spans="1:12" x14ac:dyDescent="0.3">
      <c r="A712">
        <v>47</v>
      </c>
      <c r="B712" t="s">
        <v>12</v>
      </c>
      <c r="C712" t="s">
        <v>21</v>
      </c>
      <c r="D712">
        <v>110</v>
      </c>
      <c r="E712">
        <v>275</v>
      </c>
      <c r="F712">
        <v>0</v>
      </c>
      <c r="G712" t="s">
        <v>24</v>
      </c>
      <c r="H712">
        <v>118</v>
      </c>
      <c r="I712" t="s">
        <v>22</v>
      </c>
      <c r="J712">
        <v>1</v>
      </c>
      <c r="K712" t="s">
        <v>19</v>
      </c>
      <c r="L712">
        <v>1</v>
      </c>
    </row>
    <row r="713" spans="1:12" x14ac:dyDescent="0.3">
      <c r="A713">
        <v>66</v>
      </c>
      <c r="B713" t="s">
        <v>12</v>
      </c>
      <c r="C713" t="s">
        <v>21</v>
      </c>
      <c r="D713">
        <v>120</v>
      </c>
      <c r="E713">
        <v>302</v>
      </c>
      <c r="F713">
        <v>0</v>
      </c>
      <c r="G713" t="s">
        <v>24</v>
      </c>
      <c r="H713">
        <v>151</v>
      </c>
      <c r="I713" t="s">
        <v>15</v>
      </c>
      <c r="J713">
        <v>0.4</v>
      </c>
      <c r="K713" t="s">
        <v>19</v>
      </c>
      <c r="L713">
        <v>0</v>
      </c>
    </row>
    <row r="714" spans="1:12" x14ac:dyDescent="0.3">
      <c r="A714">
        <v>58</v>
      </c>
      <c r="B714" t="s">
        <v>12</v>
      </c>
      <c r="C714" t="s">
        <v>21</v>
      </c>
      <c r="D714">
        <v>100</v>
      </c>
      <c r="E714">
        <v>234</v>
      </c>
      <c r="F714">
        <v>0</v>
      </c>
      <c r="G714" t="s">
        <v>14</v>
      </c>
      <c r="H714">
        <v>156</v>
      </c>
      <c r="I714" t="s">
        <v>15</v>
      </c>
      <c r="J714">
        <v>0.1</v>
      </c>
      <c r="K714" t="s">
        <v>16</v>
      </c>
      <c r="L714">
        <v>1</v>
      </c>
    </row>
    <row r="715" spans="1:12" x14ac:dyDescent="0.3">
      <c r="A715">
        <v>64</v>
      </c>
      <c r="B715" t="s">
        <v>17</v>
      </c>
      <c r="C715" t="s">
        <v>18</v>
      </c>
      <c r="D715">
        <v>140</v>
      </c>
      <c r="E715">
        <v>313</v>
      </c>
      <c r="F715">
        <v>0</v>
      </c>
      <c r="G715" t="s">
        <v>14</v>
      </c>
      <c r="H715">
        <v>133</v>
      </c>
      <c r="I715" t="s">
        <v>15</v>
      </c>
      <c r="J715">
        <v>0.2</v>
      </c>
      <c r="K715" t="s">
        <v>16</v>
      </c>
      <c r="L715">
        <v>0</v>
      </c>
    </row>
    <row r="716" spans="1:12" x14ac:dyDescent="0.3">
      <c r="A716">
        <v>50</v>
      </c>
      <c r="B716" t="s">
        <v>17</v>
      </c>
      <c r="C716" t="s">
        <v>13</v>
      </c>
      <c r="D716">
        <v>120</v>
      </c>
      <c r="E716">
        <v>244</v>
      </c>
      <c r="F716">
        <v>0</v>
      </c>
      <c r="G716" t="s">
        <v>14</v>
      </c>
      <c r="H716">
        <v>162</v>
      </c>
      <c r="I716" t="s">
        <v>15</v>
      </c>
      <c r="J716">
        <v>1.1000000000000001</v>
      </c>
      <c r="K716" t="s">
        <v>16</v>
      </c>
      <c r="L716">
        <v>0</v>
      </c>
    </row>
    <row r="717" spans="1:12" x14ac:dyDescent="0.3">
      <c r="A717">
        <v>44</v>
      </c>
      <c r="B717" t="s">
        <v>17</v>
      </c>
      <c r="C717" t="s">
        <v>18</v>
      </c>
      <c r="D717">
        <v>108</v>
      </c>
      <c r="E717">
        <v>141</v>
      </c>
      <c r="F717">
        <v>0</v>
      </c>
      <c r="G717" t="s">
        <v>14</v>
      </c>
      <c r="H717">
        <v>175</v>
      </c>
      <c r="I717" t="s">
        <v>15</v>
      </c>
      <c r="J717">
        <v>0.6</v>
      </c>
      <c r="K717" t="s">
        <v>19</v>
      </c>
      <c r="L717">
        <v>0</v>
      </c>
    </row>
    <row r="718" spans="1:12" x14ac:dyDescent="0.3">
      <c r="A718">
        <v>67</v>
      </c>
      <c r="B718" t="s">
        <v>12</v>
      </c>
      <c r="C718" t="s">
        <v>21</v>
      </c>
      <c r="D718">
        <v>120</v>
      </c>
      <c r="E718">
        <v>237</v>
      </c>
      <c r="F718">
        <v>0</v>
      </c>
      <c r="G718" t="s">
        <v>14</v>
      </c>
      <c r="H718">
        <v>71</v>
      </c>
      <c r="I718" t="s">
        <v>15</v>
      </c>
      <c r="J718">
        <v>1</v>
      </c>
      <c r="K718" t="s">
        <v>19</v>
      </c>
      <c r="L718">
        <v>1</v>
      </c>
    </row>
    <row r="719" spans="1:12" x14ac:dyDescent="0.3">
      <c r="A719">
        <v>49</v>
      </c>
      <c r="B719" t="s">
        <v>17</v>
      </c>
      <c r="C719" t="s">
        <v>21</v>
      </c>
      <c r="D719">
        <v>130</v>
      </c>
      <c r="E719">
        <v>269</v>
      </c>
      <c r="F719">
        <v>0</v>
      </c>
      <c r="G719" t="s">
        <v>14</v>
      </c>
      <c r="H719">
        <v>163</v>
      </c>
      <c r="I719" t="s">
        <v>15</v>
      </c>
      <c r="J719">
        <v>0</v>
      </c>
      <c r="K719" t="s">
        <v>16</v>
      </c>
      <c r="L719">
        <v>0</v>
      </c>
    </row>
    <row r="720" spans="1:12" x14ac:dyDescent="0.3">
      <c r="A720">
        <v>57</v>
      </c>
      <c r="B720" t="s">
        <v>12</v>
      </c>
      <c r="C720" t="s">
        <v>21</v>
      </c>
      <c r="D720">
        <v>165</v>
      </c>
      <c r="E720">
        <v>289</v>
      </c>
      <c r="F720">
        <v>1</v>
      </c>
      <c r="G720" t="s">
        <v>24</v>
      </c>
      <c r="H720">
        <v>124</v>
      </c>
      <c r="I720" t="s">
        <v>15</v>
      </c>
      <c r="J720">
        <v>1</v>
      </c>
      <c r="K720" t="s">
        <v>19</v>
      </c>
      <c r="L720">
        <v>1</v>
      </c>
    </row>
    <row r="721" spans="1:12" x14ac:dyDescent="0.3">
      <c r="A721">
        <v>63</v>
      </c>
      <c r="B721" t="s">
        <v>12</v>
      </c>
      <c r="C721" t="s">
        <v>21</v>
      </c>
      <c r="D721">
        <v>130</v>
      </c>
      <c r="E721">
        <v>254</v>
      </c>
      <c r="F721">
        <v>0</v>
      </c>
      <c r="G721" t="s">
        <v>24</v>
      </c>
      <c r="H721">
        <v>147</v>
      </c>
      <c r="I721" t="s">
        <v>15</v>
      </c>
      <c r="J721">
        <v>1.4</v>
      </c>
      <c r="K721" t="s">
        <v>19</v>
      </c>
      <c r="L721">
        <v>1</v>
      </c>
    </row>
    <row r="722" spans="1:12" x14ac:dyDescent="0.3">
      <c r="A722">
        <v>48</v>
      </c>
      <c r="B722" t="s">
        <v>12</v>
      </c>
      <c r="C722" t="s">
        <v>21</v>
      </c>
      <c r="D722">
        <v>124</v>
      </c>
      <c r="E722">
        <v>274</v>
      </c>
      <c r="F722">
        <v>0</v>
      </c>
      <c r="G722" t="s">
        <v>24</v>
      </c>
      <c r="H722">
        <v>166</v>
      </c>
      <c r="I722" t="s">
        <v>15</v>
      </c>
      <c r="J722">
        <v>0.5</v>
      </c>
      <c r="K722" t="s">
        <v>19</v>
      </c>
      <c r="L722">
        <v>1</v>
      </c>
    </row>
    <row r="723" spans="1:12" x14ac:dyDescent="0.3">
      <c r="A723">
        <v>51</v>
      </c>
      <c r="B723" t="s">
        <v>12</v>
      </c>
      <c r="C723" t="s">
        <v>18</v>
      </c>
      <c r="D723">
        <v>100</v>
      </c>
      <c r="E723">
        <v>222</v>
      </c>
      <c r="F723">
        <v>0</v>
      </c>
      <c r="G723" t="s">
        <v>14</v>
      </c>
      <c r="H723">
        <v>143</v>
      </c>
      <c r="I723" t="s">
        <v>22</v>
      </c>
      <c r="J723">
        <v>1.2</v>
      </c>
      <c r="K723" t="s">
        <v>19</v>
      </c>
      <c r="L723">
        <v>0</v>
      </c>
    </row>
    <row r="724" spans="1:12" x14ac:dyDescent="0.3">
      <c r="A724">
        <v>60</v>
      </c>
      <c r="B724" t="s">
        <v>17</v>
      </c>
      <c r="C724" t="s">
        <v>21</v>
      </c>
      <c r="D724">
        <v>150</v>
      </c>
      <c r="E724">
        <v>258</v>
      </c>
      <c r="F724">
        <v>0</v>
      </c>
      <c r="G724" t="s">
        <v>24</v>
      </c>
      <c r="H724">
        <v>157</v>
      </c>
      <c r="I724" t="s">
        <v>15</v>
      </c>
      <c r="J724">
        <v>2.6</v>
      </c>
      <c r="K724" t="s">
        <v>19</v>
      </c>
      <c r="L724">
        <v>1</v>
      </c>
    </row>
    <row r="725" spans="1:12" x14ac:dyDescent="0.3">
      <c r="A725">
        <v>59</v>
      </c>
      <c r="B725" t="s">
        <v>12</v>
      </c>
      <c r="C725" t="s">
        <v>21</v>
      </c>
      <c r="D725">
        <v>140</v>
      </c>
      <c r="E725">
        <v>177</v>
      </c>
      <c r="F725">
        <v>0</v>
      </c>
      <c r="G725" t="s">
        <v>14</v>
      </c>
      <c r="H725">
        <v>162</v>
      </c>
      <c r="I725" t="s">
        <v>22</v>
      </c>
      <c r="J725">
        <v>0</v>
      </c>
      <c r="K725" t="s">
        <v>16</v>
      </c>
      <c r="L725">
        <v>1</v>
      </c>
    </row>
    <row r="726" spans="1:12" x14ac:dyDescent="0.3">
      <c r="A726">
        <v>45</v>
      </c>
      <c r="B726" t="s">
        <v>17</v>
      </c>
      <c r="C726" t="s">
        <v>13</v>
      </c>
      <c r="D726">
        <v>112</v>
      </c>
      <c r="E726">
        <v>160</v>
      </c>
      <c r="F726">
        <v>0</v>
      </c>
      <c r="G726" t="s">
        <v>14</v>
      </c>
      <c r="H726">
        <v>138</v>
      </c>
      <c r="I726" t="s">
        <v>15</v>
      </c>
      <c r="J726">
        <v>0</v>
      </c>
      <c r="K726" t="s">
        <v>19</v>
      </c>
      <c r="L726">
        <v>0</v>
      </c>
    </row>
    <row r="727" spans="1:12" x14ac:dyDescent="0.3">
      <c r="A727">
        <v>55</v>
      </c>
      <c r="B727" t="s">
        <v>17</v>
      </c>
      <c r="C727" t="s">
        <v>21</v>
      </c>
      <c r="D727">
        <v>180</v>
      </c>
      <c r="E727">
        <v>327</v>
      </c>
      <c r="F727">
        <v>0</v>
      </c>
      <c r="G727" t="s">
        <v>20</v>
      </c>
      <c r="H727">
        <v>117</v>
      </c>
      <c r="I727" t="s">
        <v>22</v>
      </c>
      <c r="J727">
        <v>3.4</v>
      </c>
      <c r="K727" t="s">
        <v>19</v>
      </c>
      <c r="L727">
        <v>1</v>
      </c>
    </row>
    <row r="728" spans="1:12" x14ac:dyDescent="0.3">
      <c r="A728">
        <v>41</v>
      </c>
      <c r="B728" t="s">
        <v>12</v>
      </c>
      <c r="C728" t="s">
        <v>13</v>
      </c>
      <c r="D728">
        <v>110</v>
      </c>
      <c r="E728">
        <v>235</v>
      </c>
      <c r="F728">
        <v>0</v>
      </c>
      <c r="G728" t="s">
        <v>14</v>
      </c>
      <c r="H728">
        <v>153</v>
      </c>
      <c r="I728" t="s">
        <v>15</v>
      </c>
      <c r="J728">
        <v>0</v>
      </c>
      <c r="K728" t="s">
        <v>16</v>
      </c>
      <c r="L728">
        <v>0</v>
      </c>
    </row>
    <row r="729" spans="1:12" x14ac:dyDescent="0.3">
      <c r="A729">
        <v>60</v>
      </c>
      <c r="B729" t="s">
        <v>17</v>
      </c>
      <c r="C729" t="s">
        <v>21</v>
      </c>
      <c r="D729">
        <v>158</v>
      </c>
      <c r="E729">
        <v>305</v>
      </c>
      <c r="F729">
        <v>0</v>
      </c>
      <c r="G729" t="s">
        <v>24</v>
      </c>
      <c r="H729">
        <v>161</v>
      </c>
      <c r="I729" t="s">
        <v>15</v>
      </c>
      <c r="J729">
        <v>0</v>
      </c>
      <c r="K729" t="s">
        <v>16</v>
      </c>
      <c r="L729">
        <v>1</v>
      </c>
    </row>
    <row r="730" spans="1:12" x14ac:dyDescent="0.3">
      <c r="A730">
        <v>54</v>
      </c>
      <c r="B730" t="s">
        <v>17</v>
      </c>
      <c r="C730" t="s">
        <v>18</v>
      </c>
      <c r="D730">
        <v>135</v>
      </c>
      <c r="E730">
        <v>304</v>
      </c>
      <c r="F730">
        <v>1</v>
      </c>
      <c r="G730" t="s">
        <v>14</v>
      </c>
      <c r="H730">
        <v>170</v>
      </c>
      <c r="I730" t="s">
        <v>15</v>
      </c>
      <c r="J730">
        <v>0</v>
      </c>
      <c r="K730" t="s">
        <v>16</v>
      </c>
      <c r="L730">
        <v>0</v>
      </c>
    </row>
    <row r="731" spans="1:12" x14ac:dyDescent="0.3">
      <c r="A731">
        <v>42</v>
      </c>
      <c r="B731" t="s">
        <v>12</v>
      </c>
      <c r="C731" t="s">
        <v>13</v>
      </c>
      <c r="D731">
        <v>120</v>
      </c>
      <c r="E731">
        <v>295</v>
      </c>
      <c r="F731">
        <v>0</v>
      </c>
      <c r="G731" t="s">
        <v>14</v>
      </c>
      <c r="H731">
        <v>162</v>
      </c>
      <c r="I731" t="s">
        <v>15</v>
      </c>
      <c r="J731">
        <v>0</v>
      </c>
      <c r="K731" t="s">
        <v>16</v>
      </c>
      <c r="L731">
        <v>0</v>
      </c>
    </row>
    <row r="732" spans="1:12" x14ac:dyDescent="0.3">
      <c r="A732">
        <v>49</v>
      </c>
      <c r="B732" t="s">
        <v>17</v>
      </c>
      <c r="C732" t="s">
        <v>13</v>
      </c>
      <c r="D732">
        <v>134</v>
      </c>
      <c r="E732">
        <v>271</v>
      </c>
      <c r="F732">
        <v>0</v>
      </c>
      <c r="G732" t="s">
        <v>14</v>
      </c>
      <c r="H732">
        <v>162</v>
      </c>
      <c r="I732" t="s">
        <v>15</v>
      </c>
      <c r="J732">
        <v>0</v>
      </c>
      <c r="K732" t="s">
        <v>19</v>
      </c>
      <c r="L732">
        <v>0</v>
      </c>
    </row>
    <row r="733" spans="1:12" x14ac:dyDescent="0.3">
      <c r="A733">
        <v>46</v>
      </c>
      <c r="B733" t="s">
        <v>12</v>
      </c>
      <c r="C733" t="s">
        <v>21</v>
      </c>
      <c r="D733">
        <v>120</v>
      </c>
      <c r="E733">
        <v>249</v>
      </c>
      <c r="F733">
        <v>0</v>
      </c>
      <c r="G733" t="s">
        <v>24</v>
      </c>
      <c r="H733">
        <v>144</v>
      </c>
      <c r="I733" t="s">
        <v>15</v>
      </c>
      <c r="J733">
        <v>0.8</v>
      </c>
      <c r="K733" t="s">
        <v>16</v>
      </c>
      <c r="L733">
        <v>1</v>
      </c>
    </row>
    <row r="734" spans="1:12" x14ac:dyDescent="0.3">
      <c r="A734">
        <v>56</v>
      </c>
      <c r="B734" t="s">
        <v>17</v>
      </c>
      <c r="C734" t="s">
        <v>21</v>
      </c>
      <c r="D734">
        <v>200</v>
      </c>
      <c r="E734">
        <v>288</v>
      </c>
      <c r="F734">
        <v>1</v>
      </c>
      <c r="G734" t="s">
        <v>24</v>
      </c>
      <c r="H734">
        <v>133</v>
      </c>
      <c r="I734" t="s">
        <v>22</v>
      </c>
      <c r="J734">
        <v>4</v>
      </c>
      <c r="K734" t="s">
        <v>25</v>
      </c>
      <c r="L734">
        <v>1</v>
      </c>
    </row>
    <row r="735" spans="1:12" x14ac:dyDescent="0.3">
      <c r="A735">
        <v>66</v>
      </c>
      <c r="B735" t="s">
        <v>17</v>
      </c>
      <c r="C735" t="s">
        <v>23</v>
      </c>
      <c r="D735">
        <v>150</v>
      </c>
      <c r="E735">
        <v>226</v>
      </c>
      <c r="F735">
        <v>0</v>
      </c>
      <c r="G735" t="s">
        <v>14</v>
      </c>
      <c r="H735">
        <v>114</v>
      </c>
      <c r="I735" t="s">
        <v>15</v>
      </c>
      <c r="J735">
        <v>2.6</v>
      </c>
      <c r="K735" t="s">
        <v>25</v>
      </c>
      <c r="L735">
        <v>0</v>
      </c>
    </row>
    <row r="736" spans="1:12" x14ac:dyDescent="0.3">
      <c r="A736">
        <v>56</v>
      </c>
      <c r="B736" t="s">
        <v>12</v>
      </c>
      <c r="C736" t="s">
        <v>21</v>
      </c>
      <c r="D736">
        <v>130</v>
      </c>
      <c r="E736">
        <v>283</v>
      </c>
      <c r="F736">
        <v>1</v>
      </c>
      <c r="G736" t="s">
        <v>24</v>
      </c>
      <c r="H736">
        <v>103</v>
      </c>
      <c r="I736" t="s">
        <v>22</v>
      </c>
      <c r="J736">
        <v>1.6</v>
      </c>
      <c r="K736" t="s">
        <v>25</v>
      </c>
      <c r="L736">
        <v>1</v>
      </c>
    </row>
    <row r="737" spans="1:12" x14ac:dyDescent="0.3">
      <c r="A737">
        <v>49</v>
      </c>
      <c r="B737" t="s">
        <v>12</v>
      </c>
      <c r="C737" t="s">
        <v>18</v>
      </c>
      <c r="D737">
        <v>120</v>
      </c>
      <c r="E737">
        <v>188</v>
      </c>
      <c r="F737">
        <v>0</v>
      </c>
      <c r="G737" t="s">
        <v>14</v>
      </c>
      <c r="H737">
        <v>139</v>
      </c>
      <c r="I737" t="s">
        <v>15</v>
      </c>
      <c r="J737">
        <v>2</v>
      </c>
      <c r="K737" t="s">
        <v>19</v>
      </c>
      <c r="L737">
        <v>1</v>
      </c>
    </row>
    <row r="738" spans="1:12" x14ac:dyDescent="0.3">
      <c r="A738">
        <v>54</v>
      </c>
      <c r="B738" t="s">
        <v>12</v>
      </c>
      <c r="C738" t="s">
        <v>21</v>
      </c>
      <c r="D738">
        <v>122</v>
      </c>
      <c r="E738">
        <v>286</v>
      </c>
      <c r="F738">
        <v>0</v>
      </c>
      <c r="G738" t="s">
        <v>24</v>
      </c>
      <c r="H738">
        <v>116</v>
      </c>
      <c r="I738" t="s">
        <v>22</v>
      </c>
      <c r="J738">
        <v>3.2</v>
      </c>
      <c r="K738" t="s">
        <v>19</v>
      </c>
      <c r="L738">
        <v>1</v>
      </c>
    </row>
    <row r="739" spans="1:12" x14ac:dyDescent="0.3">
      <c r="A739">
        <v>57</v>
      </c>
      <c r="B739" t="s">
        <v>12</v>
      </c>
      <c r="C739" t="s">
        <v>21</v>
      </c>
      <c r="D739">
        <v>152</v>
      </c>
      <c r="E739">
        <v>274</v>
      </c>
      <c r="F739">
        <v>0</v>
      </c>
      <c r="G739" t="s">
        <v>14</v>
      </c>
      <c r="H739">
        <v>88</v>
      </c>
      <c r="I739" t="s">
        <v>22</v>
      </c>
      <c r="J739">
        <v>1.2</v>
      </c>
      <c r="K739" t="s">
        <v>19</v>
      </c>
      <c r="L739">
        <v>1</v>
      </c>
    </row>
    <row r="740" spans="1:12" x14ac:dyDescent="0.3">
      <c r="A740">
        <v>65</v>
      </c>
      <c r="B740" t="s">
        <v>17</v>
      </c>
      <c r="C740" t="s">
        <v>18</v>
      </c>
      <c r="D740">
        <v>160</v>
      </c>
      <c r="E740">
        <v>360</v>
      </c>
      <c r="F740">
        <v>0</v>
      </c>
      <c r="G740" t="s">
        <v>24</v>
      </c>
      <c r="H740">
        <v>151</v>
      </c>
      <c r="I740" t="s">
        <v>15</v>
      </c>
      <c r="J740">
        <v>0.8</v>
      </c>
      <c r="K740" t="s">
        <v>16</v>
      </c>
      <c r="L740">
        <v>0</v>
      </c>
    </row>
    <row r="741" spans="1:12" x14ac:dyDescent="0.3">
      <c r="A741">
        <v>54</v>
      </c>
      <c r="B741" t="s">
        <v>12</v>
      </c>
      <c r="C741" t="s">
        <v>18</v>
      </c>
      <c r="D741">
        <v>125</v>
      </c>
      <c r="E741">
        <v>273</v>
      </c>
      <c r="F741">
        <v>0</v>
      </c>
      <c r="G741" t="s">
        <v>24</v>
      </c>
      <c r="H741">
        <v>152</v>
      </c>
      <c r="I741" t="s">
        <v>15</v>
      </c>
      <c r="J741">
        <v>0.5</v>
      </c>
      <c r="K741" t="s">
        <v>25</v>
      </c>
      <c r="L741">
        <v>0</v>
      </c>
    </row>
    <row r="742" spans="1:12" x14ac:dyDescent="0.3">
      <c r="A742">
        <v>54</v>
      </c>
      <c r="B742" t="s">
        <v>17</v>
      </c>
      <c r="C742" t="s">
        <v>18</v>
      </c>
      <c r="D742">
        <v>160</v>
      </c>
      <c r="E742">
        <v>201</v>
      </c>
      <c r="F742">
        <v>0</v>
      </c>
      <c r="G742" t="s">
        <v>14</v>
      </c>
      <c r="H742">
        <v>163</v>
      </c>
      <c r="I742" t="s">
        <v>15</v>
      </c>
      <c r="J742">
        <v>0</v>
      </c>
      <c r="K742" t="s">
        <v>16</v>
      </c>
      <c r="L742">
        <v>0</v>
      </c>
    </row>
    <row r="743" spans="1:12" x14ac:dyDescent="0.3">
      <c r="A743">
        <v>62</v>
      </c>
      <c r="B743" t="s">
        <v>12</v>
      </c>
      <c r="C743" t="s">
        <v>21</v>
      </c>
      <c r="D743">
        <v>120</v>
      </c>
      <c r="E743">
        <v>267</v>
      </c>
      <c r="F743">
        <v>0</v>
      </c>
      <c r="G743" t="s">
        <v>14</v>
      </c>
      <c r="H743">
        <v>99</v>
      </c>
      <c r="I743" t="s">
        <v>22</v>
      </c>
      <c r="J743">
        <v>1.8</v>
      </c>
      <c r="K743" t="s">
        <v>19</v>
      </c>
      <c r="L743">
        <v>1</v>
      </c>
    </row>
    <row r="744" spans="1:12" x14ac:dyDescent="0.3">
      <c r="A744">
        <v>52</v>
      </c>
      <c r="B744" t="s">
        <v>17</v>
      </c>
      <c r="C744" t="s">
        <v>18</v>
      </c>
      <c r="D744">
        <v>136</v>
      </c>
      <c r="E744">
        <v>196</v>
      </c>
      <c r="F744">
        <v>0</v>
      </c>
      <c r="G744" t="s">
        <v>24</v>
      </c>
      <c r="H744">
        <v>169</v>
      </c>
      <c r="I744" t="s">
        <v>15</v>
      </c>
      <c r="J744">
        <v>0.1</v>
      </c>
      <c r="K744" t="s">
        <v>19</v>
      </c>
      <c r="L744">
        <v>0</v>
      </c>
    </row>
    <row r="745" spans="1:12" x14ac:dyDescent="0.3">
      <c r="A745">
        <v>52</v>
      </c>
      <c r="B745" t="s">
        <v>12</v>
      </c>
      <c r="C745" t="s">
        <v>13</v>
      </c>
      <c r="D745">
        <v>134</v>
      </c>
      <c r="E745">
        <v>201</v>
      </c>
      <c r="F745">
        <v>0</v>
      </c>
      <c r="G745" t="s">
        <v>14</v>
      </c>
      <c r="H745">
        <v>158</v>
      </c>
      <c r="I745" t="s">
        <v>15</v>
      </c>
      <c r="J745">
        <v>0.8</v>
      </c>
      <c r="K745" t="s">
        <v>16</v>
      </c>
      <c r="L745">
        <v>0</v>
      </c>
    </row>
    <row r="746" spans="1:12" x14ac:dyDescent="0.3">
      <c r="A746">
        <v>60</v>
      </c>
      <c r="B746" t="s">
        <v>12</v>
      </c>
      <c r="C746" t="s">
        <v>21</v>
      </c>
      <c r="D746">
        <v>117</v>
      </c>
      <c r="E746">
        <v>230</v>
      </c>
      <c r="F746">
        <v>1</v>
      </c>
      <c r="G746" t="s">
        <v>14</v>
      </c>
      <c r="H746">
        <v>160</v>
      </c>
      <c r="I746" t="s">
        <v>22</v>
      </c>
      <c r="J746">
        <v>1.4</v>
      </c>
      <c r="K746" t="s">
        <v>16</v>
      </c>
      <c r="L746">
        <v>1</v>
      </c>
    </row>
    <row r="747" spans="1:12" x14ac:dyDescent="0.3">
      <c r="A747">
        <v>63</v>
      </c>
      <c r="B747" t="s">
        <v>17</v>
      </c>
      <c r="C747" t="s">
        <v>21</v>
      </c>
      <c r="D747">
        <v>108</v>
      </c>
      <c r="E747">
        <v>269</v>
      </c>
      <c r="F747">
        <v>0</v>
      </c>
      <c r="G747" t="s">
        <v>14</v>
      </c>
      <c r="H747">
        <v>169</v>
      </c>
      <c r="I747" t="s">
        <v>22</v>
      </c>
      <c r="J747">
        <v>1.8</v>
      </c>
      <c r="K747" t="s">
        <v>19</v>
      </c>
      <c r="L747">
        <v>1</v>
      </c>
    </row>
    <row r="748" spans="1:12" x14ac:dyDescent="0.3">
      <c r="A748">
        <v>66</v>
      </c>
      <c r="B748" t="s">
        <v>12</v>
      </c>
      <c r="C748" t="s">
        <v>21</v>
      </c>
      <c r="D748">
        <v>112</v>
      </c>
      <c r="E748">
        <v>212</v>
      </c>
      <c r="F748">
        <v>0</v>
      </c>
      <c r="G748" t="s">
        <v>24</v>
      </c>
      <c r="H748">
        <v>132</v>
      </c>
      <c r="I748" t="s">
        <v>22</v>
      </c>
      <c r="J748">
        <v>0.1</v>
      </c>
      <c r="K748" t="s">
        <v>16</v>
      </c>
      <c r="L748">
        <v>1</v>
      </c>
    </row>
    <row r="749" spans="1:12" x14ac:dyDescent="0.3">
      <c r="A749">
        <v>42</v>
      </c>
      <c r="B749" t="s">
        <v>12</v>
      </c>
      <c r="C749" t="s">
        <v>21</v>
      </c>
      <c r="D749">
        <v>140</v>
      </c>
      <c r="E749">
        <v>226</v>
      </c>
      <c r="F749">
        <v>0</v>
      </c>
      <c r="G749" t="s">
        <v>14</v>
      </c>
      <c r="H749">
        <v>178</v>
      </c>
      <c r="I749" t="s">
        <v>15</v>
      </c>
      <c r="J749">
        <v>0</v>
      </c>
      <c r="K749" t="s">
        <v>16</v>
      </c>
      <c r="L749">
        <v>0</v>
      </c>
    </row>
    <row r="750" spans="1:12" x14ac:dyDescent="0.3">
      <c r="A750">
        <v>64</v>
      </c>
      <c r="B750" t="s">
        <v>12</v>
      </c>
      <c r="C750" t="s">
        <v>21</v>
      </c>
      <c r="D750">
        <v>120</v>
      </c>
      <c r="E750">
        <v>246</v>
      </c>
      <c r="F750">
        <v>0</v>
      </c>
      <c r="G750" t="s">
        <v>24</v>
      </c>
      <c r="H750">
        <v>96</v>
      </c>
      <c r="I750" t="s">
        <v>22</v>
      </c>
      <c r="J750">
        <v>2.2000000000000002</v>
      </c>
      <c r="K750" t="s">
        <v>25</v>
      </c>
      <c r="L750">
        <v>1</v>
      </c>
    </row>
    <row r="751" spans="1:12" x14ac:dyDescent="0.3">
      <c r="A751">
        <v>54</v>
      </c>
      <c r="B751" t="s">
        <v>12</v>
      </c>
      <c r="C751" t="s">
        <v>18</v>
      </c>
      <c r="D751">
        <v>150</v>
      </c>
      <c r="E751">
        <v>232</v>
      </c>
      <c r="F751">
        <v>0</v>
      </c>
      <c r="G751" t="s">
        <v>24</v>
      </c>
      <c r="H751">
        <v>165</v>
      </c>
      <c r="I751" t="s">
        <v>15</v>
      </c>
      <c r="J751">
        <v>1.6</v>
      </c>
      <c r="K751" t="s">
        <v>16</v>
      </c>
      <c r="L751">
        <v>0</v>
      </c>
    </row>
    <row r="752" spans="1:12" x14ac:dyDescent="0.3">
      <c r="A752">
        <v>46</v>
      </c>
      <c r="B752" t="s">
        <v>17</v>
      </c>
      <c r="C752" t="s">
        <v>18</v>
      </c>
      <c r="D752">
        <v>142</v>
      </c>
      <c r="E752">
        <v>177</v>
      </c>
      <c r="F752">
        <v>0</v>
      </c>
      <c r="G752" t="s">
        <v>24</v>
      </c>
      <c r="H752">
        <v>160</v>
      </c>
      <c r="I752" t="s">
        <v>22</v>
      </c>
      <c r="J752">
        <v>1.4</v>
      </c>
      <c r="K752" t="s">
        <v>25</v>
      </c>
      <c r="L752">
        <v>0</v>
      </c>
    </row>
    <row r="753" spans="1:12" x14ac:dyDescent="0.3">
      <c r="A753">
        <v>67</v>
      </c>
      <c r="B753" t="s">
        <v>17</v>
      </c>
      <c r="C753" t="s">
        <v>18</v>
      </c>
      <c r="D753">
        <v>152</v>
      </c>
      <c r="E753">
        <v>277</v>
      </c>
      <c r="F753">
        <v>0</v>
      </c>
      <c r="G753" t="s">
        <v>14</v>
      </c>
      <c r="H753">
        <v>172</v>
      </c>
      <c r="I753" t="s">
        <v>15</v>
      </c>
      <c r="J753">
        <v>0</v>
      </c>
      <c r="K753" t="s">
        <v>16</v>
      </c>
      <c r="L753">
        <v>0</v>
      </c>
    </row>
    <row r="754" spans="1:12" x14ac:dyDescent="0.3">
      <c r="A754">
        <v>56</v>
      </c>
      <c r="B754" t="s">
        <v>12</v>
      </c>
      <c r="C754" t="s">
        <v>21</v>
      </c>
      <c r="D754">
        <v>125</v>
      </c>
      <c r="E754">
        <v>249</v>
      </c>
      <c r="F754">
        <v>1</v>
      </c>
      <c r="G754" t="s">
        <v>24</v>
      </c>
      <c r="H754">
        <v>144</v>
      </c>
      <c r="I754" t="s">
        <v>22</v>
      </c>
      <c r="J754">
        <v>1.2</v>
      </c>
      <c r="K754" t="s">
        <v>19</v>
      </c>
      <c r="L754">
        <v>1</v>
      </c>
    </row>
    <row r="755" spans="1:12" x14ac:dyDescent="0.3">
      <c r="A755">
        <v>34</v>
      </c>
      <c r="B755" t="s">
        <v>17</v>
      </c>
      <c r="C755" t="s">
        <v>13</v>
      </c>
      <c r="D755">
        <v>118</v>
      </c>
      <c r="E755">
        <v>210</v>
      </c>
      <c r="F755">
        <v>0</v>
      </c>
      <c r="G755" t="s">
        <v>14</v>
      </c>
      <c r="H755">
        <v>192</v>
      </c>
      <c r="I755" t="s">
        <v>15</v>
      </c>
      <c r="J755">
        <v>0.7</v>
      </c>
      <c r="K755" t="s">
        <v>16</v>
      </c>
      <c r="L755">
        <v>0</v>
      </c>
    </row>
    <row r="756" spans="1:12" x14ac:dyDescent="0.3">
      <c r="A756">
        <v>57</v>
      </c>
      <c r="B756" t="s">
        <v>12</v>
      </c>
      <c r="C756" t="s">
        <v>21</v>
      </c>
      <c r="D756">
        <v>132</v>
      </c>
      <c r="E756">
        <v>207</v>
      </c>
      <c r="F756">
        <v>0</v>
      </c>
      <c r="G756" t="s">
        <v>14</v>
      </c>
      <c r="H756">
        <v>168</v>
      </c>
      <c r="I756" t="s">
        <v>22</v>
      </c>
      <c r="J756">
        <v>0</v>
      </c>
      <c r="K756" t="s">
        <v>16</v>
      </c>
      <c r="L756">
        <v>0</v>
      </c>
    </row>
    <row r="757" spans="1:12" x14ac:dyDescent="0.3">
      <c r="A757">
        <v>64</v>
      </c>
      <c r="B757" t="s">
        <v>12</v>
      </c>
      <c r="C757" t="s">
        <v>21</v>
      </c>
      <c r="D757">
        <v>145</v>
      </c>
      <c r="E757">
        <v>212</v>
      </c>
      <c r="F757">
        <v>0</v>
      </c>
      <c r="G757" t="s">
        <v>24</v>
      </c>
      <c r="H757">
        <v>132</v>
      </c>
      <c r="I757" t="s">
        <v>15</v>
      </c>
      <c r="J757">
        <v>2</v>
      </c>
      <c r="K757" t="s">
        <v>19</v>
      </c>
      <c r="L757">
        <v>1</v>
      </c>
    </row>
    <row r="758" spans="1:12" x14ac:dyDescent="0.3">
      <c r="A758">
        <v>59</v>
      </c>
      <c r="B758" t="s">
        <v>12</v>
      </c>
      <c r="C758" t="s">
        <v>21</v>
      </c>
      <c r="D758">
        <v>138</v>
      </c>
      <c r="E758">
        <v>271</v>
      </c>
      <c r="F758">
        <v>0</v>
      </c>
      <c r="G758" t="s">
        <v>24</v>
      </c>
      <c r="H758">
        <v>182</v>
      </c>
      <c r="I758" t="s">
        <v>15</v>
      </c>
      <c r="J758">
        <v>0</v>
      </c>
      <c r="K758" t="s">
        <v>16</v>
      </c>
      <c r="L758">
        <v>0</v>
      </c>
    </row>
    <row r="759" spans="1:12" x14ac:dyDescent="0.3">
      <c r="A759">
        <v>50</v>
      </c>
      <c r="B759" t="s">
        <v>12</v>
      </c>
      <c r="C759" t="s">
        <v>18</v>
      </c>
      <c r="D759">
        <v>140</v>
      </c>
      <c r="E759">
        <v>233</v>
      </c>
      <c r="F759">
        <v>0</v>
      </c>
      <c r="G759" t="s">
        <v>14</v>
      </c>
      <c r="H759">
        <v>163</v>
      </c>
      <c r="I759" t="s">
        <v>15</v>
      </c>
      <c r="J759">
        <v>0.6</v>
      </c>
      <c r="K759" t="s">
        <v>19</v>
      </c>
      <c r="L759">
        <v>1</v>
      </c>
    </row>
    <row r="760" spans="1:12" x14ac:dyDescent="0.3">
      <c r="A760">
        <v>51</v>
      </c>
      <c r="B760" t="s">
        <v>12</v>
      </c>
      <c r="C760" t="s">
        <v>23</v>
      </c>
      <c r="D760">
        <v>125</v>
      </c>
      <c r="E760">
        <v>213</v>
      </c>
      <c r="F760">
        <v>0</v>
      </c>
      <c r="G760" t="s">
        <v>24</v>
      </c>
      <c r="H760">
        <v>125</v>
      </c>
      <c r="I760" t="s">
        <v>22</v>
      </c>
      <c r="J760">
        <v>1.4</v>
      </c>
      <c r="K760" t="s">
        <v>16</v>
      </c>
      <c r="L760">
        <v>0</v>
      </c>
    </row>
    <row r="761" spans="1:12" x14ac:dyDescent="0.3">
      <c r="A761">
        <v>54</v>
      </c>
      <c r="B761" t="s">
        <v>12</v>
      </c>
      <c r="C761" t="s">
        <v>13</v>
      </c>
      <c r="D761">
        <v>192</v>
      </c>
      <c r="E761">
        <v>283</v>
      </c>
      <c r="F761">
        <v>0</v>
      </c>
      <c r="G761" t="s">
        <v>24</v>
      </c>
      <c r="H761">
        <v>195</v>
      </c>
      <c r="I761" t="s">
        <v>15</v>
      </c>
      <c r="J761">
        <v>0</v>
      </c>
      <c r="K761" t="s">
        <v>16</v>
      </c>
      <c r="L761">
        <v>1</v>
      </c>
    </row>
    <row r="762" spans="1:12" x14ac:dyDescent="0.3">
      <c r="A762">
        <v>53</v>
      </c>
      <c r="B762" t="s">
        <v>12</v>
      </c>
      <c r="C762" t="s">
        <v>21</v>
      </c>
      <c r="D762">
        <v>123</v>
      </c>
      <c r="E762">
        <v>282</v>
      </c>
      <c r="F762">
        <v>0</v>
      </c>
      <c r="G762" t="s">
        <v>14</v>
      </c>
      <c r="H762">
        <v>95</v>
      </c>
      <c r="I762" t="s">
        <v>22</v>
      </c>
      <c r="J762">
        <v>2</v>
      </c>
      <c r="K762" t="s">
        <v>19</v>
      </c>
      <c r="L762">
        <v>1</v>
      </c>
    </row>
    <row r="763" spans="1:12" x14ac:dyDescent="0.3">
      <c r="A763">
        <v>52</v>
      </c>
      <c r="B763" t="s">
        <v>12</v>
      </c>
      <c r="C763" t="s">
        <v>21</v>
      </c>
      <c r="D763">
        <v>112</v>
      </c>
      <c r="E763">
        <v>230</v>
      </c>
      <c r="F763">
        <v>0</v>
      </c>
      <c r="G763" t="s">
        <v>14</v>
      </c>
      <c r="H763">
        <v>160</v>
      </c>
      <c r="I763" t="s">
        <v>15</v>
      </c>
      <c r="J763">
        <v>0</v>
      </c>
      <c r="K763" t="s">
        <v>16</v>
      </c>
      <c r="L763">
        <v>1</v>
      </c>
    </row>
    <row r="764" spans="1:12" x14ac:dyDescent="0.3">
      <c r="A764">
        <v>40</v>
      </c>
      <c r="B764" t="s">
        <v>12</v>
      </c>
      <c r="C764" t="s">
        <v>21</v>
      </c>
      <c r="D764">
        <v>110</v>
      </c>
      <c r="E764">
        <v>167</v>
      </c>
      <c r="F764">
        <v>0</v>
      </c>
      <c r="G764" t="s">
        <v>24</v>
      </c>
      <c r="H764">
        <v>114</v>
      </c>
      <c r="I764" t="s">
        <v>22</v>
      </c>
      <c r="J764">
        <v>2</v>
      </c>
      <c r="K764" t="s">
        <v>19</v>
      </c>
      <c r="L764">
        <v>1</v>
      </c>
    </row>
    <row r="765" spans="1:12" x14ac:dyDescent="0.3">
      <c r="A765">
        <v>58</v>
      </c>
      <c r="B765" t="s">
        <v>12</v>
      </c>
      <c r="C765" t="s">
        <v>18</v>
      </c>
      <c r="D765">
        <v>132</v>
      </c>
      <c r="E765">
        <v>224</v>
      </c>
      <c r="F765">
        <v>0</v>
      </c>
      <c r="G765" t="s">
        <v>24</v>
      </c>
      <c r="H765">
        <v>173</v>
      </c>
      <c r="I765" t="s">
        <v>15</v>
      </c>
      <c r="J765">
        <v>3.2</v>
      </c>
      <c r="K765" t="s">
        <v>16</v>
      </c>
      <c r="L765">
        <v>1</v>
      </c>
    </row>
    <row r="766" spans="1:12" x14ac:dyDescent="0.3">
      <c r="A766">
        <v>41</v>
      </c>
      <c r="B766" t="s">
        <v>17</v>
      </c>
      <c r="C766" t="s">
        <v>18</v>
      </c>
      <c r="D766">
        <v>112</v>
      </c>
      <c r="E766">
        <v>268</v>
      </c>
      <c r="F766">
        <v>0</v>
      </c>
      <c r="G766" t="s">
        <v>24</v>
      </c>
      <c r="H766">
        <v>172</v>
      </c>
      <c r="I766" t="s">
        <v>22</v>
      </c>
      <c r="J766">
        <v>0</v>
      </c>
      <c r="K766" t="s">
        <v>16</v>
      </c>
      <c r="L766">
        <v>0</v>
      </c>
    </row>
    <row r="767" spans="1:12" x14ac:dyDescent="0.3">
      <c r="A767">
        <v>41</v>
      </c>
      <c r="B767" t="s">
        <v>12</v>
      </c>
      <c r="C767" t="s">
        <v>18</v>
      </c>
      <c r="D767">
        <v>112</v>
      </c>
      <c r="E767">
        <v>250</v>
      </c>
      <c r="F767">
        <v>0</v>
      </c>
      <c r="G767" t="s">
        <v>14</v>
      </c>
      <c r="H767">
        <v>179</v>
      </c>
      <c r="I767" t="s">
        <v>15</v>
      </c>
      <c r="J767">
        <v>0</v>
      </c>
      <c r="K767" t="s">
        <v>16</v>
      </c>
      <c r="L767">
        <v>0</v>
      </c>
    </row>
    <row r="768" spans="1:12" x14ac:dyDescent="0.3">
      <c r="A768">
        <v>50</v>
      </c>
      <c r="B768" t="s">
        <v>17</v>
      </c>
      <c r="C768" t="s">
        <v>18</v>
      </c>
      <c r="D768">
        <v>120</v>
      </c>
      <c r="E768">
        <v>219</v>
      </c>
      <c r="F768">
        <v>0</v>
      </c>
      <c r="G768" t="s">
        <v>14</v>
      </c>
      <c r="H768">
        <v>158</v>
      </c>
      <c r="I768" t="s">
        <v>15</v>
      </c>
      <c r="J768">
        <v>1.6</v>
      </c>
      <c r="K768" t="s">
        <v>19</v>
      </c>
      <c r="L768">
        <v>0</v>
      </c>
    </row>
    <row r="769" spans="1:12" x14ac:dyDescent="0.3">
      <c r="A769">
        <v>54</v>
      </c>
      <c r="B769" t="s">
        <v>17</v>
      </c>
      <c r="C769" t="s">
        <v>18</v>
      </c>
      <c r="D769">
        <v>108</v>
      </c>
      <c r="E769">
        <v>267</v>
      </c>
      <c r="F769">
        <v>0</v>
      </c>
      <c r="G769" t="s">
        <v>24</v>
      </c>
      <c r="H769">
        <v>167</v>
      </c>
      <c r="I769" t="s">
        <v>15</v>
      </c>
      <c r="J769">
        <v>0</v>
      </c>
      <c r="K769" t="s">
        <v>16</v>
      </c>
      <c r="L769">
        <v>0</v>
      </c>
    </row>
    <row r="770" spans="1:12" x14ac:dyDescent="0.3">
      <c r="A770">
        <v>64</v>
      </c>
      <c r="B770" t="s">
        <v>17</v>
      </c>
      <c r="C770" t="s">
        <v>21</v>
      </c>
      <c r="D770">
        <v>130</v>
      </c>
      <c r="E770">
        <v>303</v>
      </c>
      <c r="F770">
        <v>0</v>
      </c>
      <c r="G770" t="s">
        <v>14</v>
      </c>
      <c r="H770">
        <v>122</v>
      </c>
      <c r="I770" t="s">
        <v>15</v>
      </c>
      <c r="J770">
        <v>2</v>
      </c>
      <c r="K770" t="s">
        <v>19</v>
      </c>
      <c r="L770">
        <v>0</v>
      </c>
    </row>
    <row r="771" spans="1:12" x14ac:dyDescent="0.3">
      <c r="A771">
        <v>51</v>
      </c>
      <c r="B771" t="s">
        <v>17</v>
      </c>
      <c r="C771" t="s">
        <v>18</v>
      </c>
      <c r="D771">
        <v>130</v>
      </c>
      <c r="E771">
        <v>256</v>
      </c>
      <c r="F771">
        <v>0</v>
      </c>
      <c r="G771" t="s">
        <v>24</v>
      </c>
      <c r="H771">
        <v>149</v>
      </c>
      <c r="I771" t="s">
        <v>15</v>
      </c>
      <c r="J771">
        <v>0.5</v>
      </c>
      <c r="K771" t="s">
        <v>16</v>
      </c>
      <c r="L771">
        <v>0</v>
      </c>
    </row>
    <row r="772" spans="1:12" x14ac:dyDescent="0.3">
      <c r="A772">
        <v>46</v>
      </c>
      <c r="B772" t="s">
        <v>17</v>
      </c>
      <c r="C772" t="s">
        <v>13</v>
      </c>
      <c r="D772">
        <v>105</v>
      </c>
      <c r="E772">
        <v>204</v>
      </c>
      <c r="F772">
        <v>0</v>
      </c>
      <c r="G772" t="s">
        <v>14</v>
      </c>
      <c r="H772">
        <v>172</v>
      </c>
      <c r="I772" t="s">
        <v>15</v>
      </c>
      <c r="J772">
        <v>0</v>
      </c>
      <c r="K772" t="s">
        <v>16</v>
      </c>
      <c r="L772">
        <v>0</v>
      </c>
    </row>
    <row r="773" spans="1:12" x14ac:dyDescent="0.3">
      <c r="A773">
        <v>55</v>
      </c>
      <c r="B773" t="s">
        <v>12</v>
      </c>
      <c r="C773" t="s">
        <v>21</v>
      </c>
      <c r="D773">
        <v>140</v>
      </c>
      <c r="E773">
        <v>217</v>
      </c>
      <c r="F773">
        <v>0</v>
      </c>
      <c r="G773" t="s">
        <v>14</v>
      </c>
      <c r="H773">
        <v>111</v>
      </c>
      <c r="I773" t="s">
        <v>22</v>
      </c>
      <c r="J773">
        <v>5.6</v>
      </c>
      <c r="K773" t="s">
        <v>25</v>
      </c>
      <c r="L773">
        <v>1</v>
      </c>
    </row>
    <row r="774" spans="1:12" x14ac:dyDescent="0.3">
      <c r="A774">
        <v>45</v>
      </c>
      <c r="B774" t="s">
        <v>12</v>
      </c>
      <c r="C774" t="s">
        <v>13</v>
      </c>
      <c r="D774">
        <v>128</v>
      </c>
      <c r="E774">
        <v>308</v>
      </c>
      <c r="F774">
        <v>0</v>
      </c>
      <c r="G774" t="s">
        <v>24</v>
      </c>
      <c r="H774">
        <v>170</v>
      </c>
      <c r="I774" t="s">
        <v>15</v>
      </c>
      <c r="J774">
        <v>0</v>
      </c>
      <c r="K774" t="s">
        <v>16</v>
      </c>
      <c r="L774">
        <v>0</v>
      </c>
    </row>
    <row r="775" spans="1:12" x14ac:dyDescent="0.3">
      <c r="A775">
        <v>56</v>
      </c>
      <c r="B775" t="s">
        <v>12</v>
      </c>
      <c r="C775" t="s">
        <v>23</v>
      </c>
      <c r="D775">
        <v>120</v>
      </c>
      <c r="E775">
        <v>193</v>
      </c>
      <c r="F775">
        <v>0</v>
      </c>
      <c r="G775" t="s">
        <v>24</v>
      </c>
      <c r="H775">
        <v>162</v>
      </c>
      <c r="I775" t="s">
        <v>15</v>
      </c>
      <c r="J775">
        <v>1.9</v>
      </c>
      <c r="K775" t="s">
        <v>19</v>
      </c>
      <c r="L775">
        <v>0</v>
      </c>
    </row>
    <row r="776" spans="1:12" x14ac:dyDescent="0.3">
      <c r="A776">
        <v>66</v>
      </c>
      <c r="B776" t="s">
        <v>17</v>
      </c>
      <c r="C776" t="s">
        <v>21</v>
      </c>
      <c r="D776">
        <v>178</v>
      </c>
      <c r="E776">
        <v>228</v>
      </c>
      <c r="F776">
        <v>1</v>
      </c>
      <c r="G776" t="s">
        <v>14</v>
      </c>
      <c r="H776">
        <v>165</v>
      </c>
      <c r="I776" t="s">
        <v>22</v>
      </c>
      <c r="J776">
        <v>1</v>
      </c>
      <c r="K776" t="s">
        <v>19</v>
      </c>
      <c r="L776">
        <v>1</v>
      </c>
    </row>
    <row r="777" spans="1:12" x14ac:dyDescent="0.3">
      <c r="A777">
        <v>38</v>
      </c>
      <c r="B777" t="s">
        <v>12</v>
      </c>
      <c r="C777" t="s">
        <v>23</v>
      </c>
      <c r="D777">
        <v>120</v>
      </c>
      <c r="E777">
        <v>231</v>
      </c>
      <c r="F777">
        <v>0</v>
      </c>
      <c r="G777" t="s">
        <v>14</v>
      </c>
      <c r="H777">
        <v>182</v>
      </c>
      <c r="I777" t="s">
        <v>22</v>
      </c>
      <c r="J777">
        <v>3.8</v>
      </c>
      <c r="K777" t="s">
        <v>19</v>
      </c>
      <c r="L777">
        <v>1</v>
      </c>
    </row>
    <row r="778" spans="1:12" x14ac:dyDescent="0.3">
      <c r="A778">
        <v>62</v>
      </c>
      <c r="B778" t="s">
        <v>17</v>
      </c>
      <c r="C778" t="s">
        <v>21</v>
      </c>
      <c r="D778">
        <v>150</v>
      </c>
      <c r="E778">
        <v>244</v>
      </c>
      <c r="F778">
        <v>0</v>
      </c>
      <c r="G778" t="s">
        <v>14</v>
      </c>
      <c r="H778">
        <v>154</v>
      </c>
      <c r="I778" t="s">
        <v>22</v>
      </c>
      <c r="J778">
        <v>1.4</v>
      </c>
      <c r="K778" t="s">
        <v>19</v>
      </c>
      <c r="L778">
        <v>1</v>
      </c>
    </row>
    <row r="779" spans="1:12" x14ac:dyDescent="0.3">
      <c r="A779">
        <v>55</v>
      </c>
      <c r="B779" t="s">
        <v>12</v>
      </c>
      <c r="C779" t="s">
        <v>13</v>
      </c>
      <c r="D779">
        <v>130</v>
      </c>
      <c r="E779">
        <v>262</v>
      </c>
      <c r="F779">
        <v>0</v>
      </c>
      <c r="G779" t="s">
        <v>14</v>
      </c>
      <c r="H779">
        <v>155</v>
      </c>
      <c r="I779" t="s">
        <v>15</v>
      </c>
      <c r="J779">
        <v>0</v>
      </c>
      <c r="K779" t="s">
        <v>16</v>
      </c>
      <c r="L779">
        <v>0</v>
      </c>
    </row>
    <row r="780" spans="1:12" x14ac:dyDescent="0.3">
      <c r="A780">
        <v>58</v>
      </c>
      <c r="B780" t="s">
        <v>12</v>
      </c>
      <c r="C780" t="s">
        <v>21</v>
      </c>
      <c r="D780">
        <v>128</v>
      </c>
      <c r="E780">
        <v>259</v>
      </c>
      <c r="F780">
        <v>0</v>
      </c>
      <c r="G780" t="s">
        <v>24</v>
      </c>
      <c r="H780">
        <v>130</v>
      </c>
      <c r="I780" t="s">
        <v>22</v>
      </c>
      <c r="J780">
        <v>3</v>
      </c>
      <c r="K780" t="s">
        <v>19</v>
      </c>
      <c r="L780">
        <v>1</v>
      </c>
    </row>
    <row r="781" spans="1:12" x14ac:dyDescent="0.3">
      <c r="A781">
        <v>43</v>
      </c>
      <c r="B781" t="s">
        <v>12</v>
      </c>
      <c r="C781" t="s">
        <v>21</v>
      </c>
      <c r="D781">
        <v>110</v>
      </c>
      <c r="E781">
        <v>211</v>
      </c>
      <c r="F781">
        <v>0</v>
      </c>
      <c r="G781" t="s">
        <v>14</v>
      </c>
      <c r="H781">
        <v>161</v>
      </c>
      <c r="I781" t="s">
        <v>15</v>
      </c>
      <c r="J781">
        <v>0</v>
      </c>
      <c r="K781" t="s">
        <v>16</v>
      </c>
      <c r="L781">
        <v>0</v>
      </c>
    </row>
    <row r="782" spans="1:12" x14ac:dyDescent="0.3">
      <c r="A782">
        <v>64</v>
      </c>
      <c r="B782" t="s">
        <v>17</v>
      </c>
      <c r="C782" t="s">
        <v>21</v>
      </c>
      <c r="D782">
        <v>180</v>
      </c>
      <c r="E782">
        <v>325</v>
      </c>
      <c r="F782">
        <v>0</v>
      </c>
      <c r="G782" t="s">
        <v>14</v>
      </c>
      <c r="H782">
        <v>154</v>
      </c>
      <c r="I782" t="s">
        <v>22</v>
      </c>
      <c r="J782">
        <v>0</v>
      </c>
      <c r="K782" t="s">
        <v>16</v>
      </c>
      <c r="L782">
        <v>0</v>
      </c>
    </row>
    <row r="783" spans="1:12" x14ac:dyDescent="0.3">
      <c r="A783">
        <v>50</v>
      </c>
      <c r="B783" t="s">
        <v>17</v>
      </c>
      <c r="C783" t="s">
        <v>21</v>
      </c>
      <c r="D783">
        <v>110</v>
      </c>
      <c r="E783">
        <v>254</v>
      </c>
      <c r="F783">
        <v>0</v>
      </c>
      <c r="G783" t="s">
        <v>24</v>
      </c>
      <c r="H783">
        <v>159</v>
      </c>
      <c r="I783" t="s">
        <v>15</v>
      </c>
      <c r="J783">
        <v>0</v>
      </c>
      <c r="K783" t="s">
        <v>16</v>
      </c>
      <c r="L783">
        <v>0</v>
      </c>
    </row>
    <row r="784" spans="1:12" x14ac:dyDescent="0.3">
      <c r="A784">
        <v>53</v>
      </c>
      <c r="B784" t="s">
        <v>12</v>
      </c>
      <c r="C784" t="s">
        <v>18</v>
      </c>
      <c r="D784">
        <v>130</v>
      </c>
      <c r="E784">
        <v>197</v>
      </c>
      <c r="F784">
        <v>1</v>
      </c>
      <c r="G784" t="s">
        <v>24</v>
      </c>
      <c r="H784">
        <v>152</v>
      </c>
      <c r="I784" t="s">
        <v>15</v>
      </c>
      <c r="J784">
        <v>1.2</v>
      </c>
      <c r="K784" t="s">
        <v>25</v>
      </c>
      <c r="L784">
        <v>0</v>
      </c>
    </row>
    <row r="785" spans="1:12" x14ac:dyDescent="0.3">
      <c r="A785">
        <v>45</v>
      </c>
      <c r="B785" t="s">
        <v>17</v>
      </c>
      <c r="C785" t="s">
        <v>21</v>
      </c>
      <c r="D785">
        <v>138</v>
      </c>
      <c r="E785">
        <v>236</v>
      </c>
      <c r="F785">
        <v>0</v>
      </c>
      <c r="G785" t="s">
        <v>24</v>
      </c>
      <c r="H785">
        <v>152</v>
      </c>
      <c r="I785" t="s">
        <v>22</v>
      </c>
      <c r="J785">
        <v>0.2</v>
      </c>
      <c r="K785" t="s">
        <v>19</v>
      </c>
      <c r="L785">
        <v>0</v>
      </c>
    </row>
    <row r="786" spans="1:12" x14ac:dyDescent="0.3">
      <c r="A786">
        <v>65</v>
      </c>
      <c r="B786" t="s">
        <v>12</v>
      </c>
      <c r="C786" t="s">
        <v>23</v>
      </c>
      <c r="D786">
        <v>138</v>
      </c>
      <c r="E786">
        <v>282</v>
      </c>
      <c r="F786">
        <v>1</v>
      </c>
      <c r="G786" t="s">
        <v>24</v>
      </c>
      <c r="H786">
        <v>174</v>
      </c>
      <c r="I786" t="s">
        <v>15</v>
      </c>
      <c r="J786">
        <v>1.4</v>
      </c>
      <c r="K786" t="s">
        <v>19</v>
      </c>
      <c r="L786">
        <v>1</v>
      </c>
    </row>
    <row r="787" spans="1:12" x14ac:dyDescent="0.3">
      <c r="A787">
        <v>69</v>
      </c>
      <c r="B787" t="s">
        <v>12</v>
      </c>
      <c r="C787" t="s">
        <v>23</v>
      </c>
      <c r="D787">
        <v>160</v>
      </c>
      <c r="E787">
        <v>234</v>
      </c>
      <c r="F787">
        <v>1</v>
      </c>
      <c r="G787" t="s">
        <v>24</v>
      </c>
      <c r="H787">
        <v>131</v>
      </c>
      <c r="I787" t="s">
        <v>15</v>
      </c>
      <c r="J787">
        <v>0.1</v>
      </c>
      <c r="K787" t="s">
        <v>19</v>
      </c>
      <c r="L787">
        <v>0</v>
      </c>
    </row>
    <row r="788" spans="1:12" x14ac:dyDescent="0.3">
      <c r="A788">
        <v>69</v>
      </c>
      <c r="B788" t="s">
        <v>12</v>
      </c>
      <c r="C788" t="s">
        <v>18</v>
      </c>
      <c r="D788">
        <v>140</v>
      </c>
      <c r="E788">
        <v>254</v>
      </c>
      <c r="F788">
        <v>0</v>
      </c>
      <c r="G788" t="s">
        <v>24</v>
      </c>
      <c r="H788">
        <v>146</v>
      </c>
      <c r="I788" t="s">
        <v>15</v>
      </c>
      <c r="J788">
        <v>2</v>
      </c>
      <c r="K788" t="s">
        <v>19</v>
      </c>
      <c r="L788">
        <v>1</v>
      </c>
    </row>
    <row r="789" spans="1:12" x14ac:dyDescent="0.3">
      <c r="A789">
        <v>67</v>
      </c>
      <c r="B789" t="s">
        <v>12</v>
      </c>
      <c r="C789" t="s">
        <v>21</v>
      </c>
      <c r="D789">
        <v>100</v>
      </c>
      <c r="E789">
        <v>299</v>
      </c>
      <c r="F789">
        <v>0</v>
      </c>
      <c r="G789" t="s">
        <v>24</v>
      </c>
      <c r="H789">
        <v>125</v>
      </c>
      <c r="I789" t="s">
        <v>22</v>
      </c>
      <c r="J789">
        <v>0.9</v>
      </c>
      <c r="K789" t="s">
        <v>19</v>
      </c>
      <c r="L789">
        <v>1</v>
      </c>
    </row>
    <row r="790" spans="1:12" x14ac:dyDescent="0.3">
      <c r="A790">
        <v>68</v>
      </c>
      <c r="B790" t="s">
        <v>17</v>
      </c>
      <c r="C790" t="s">
        <v>18</v>
      </c>
      <c r="D790">
        <v>120</v>
      </c>
      <c r="E790">
        <v>211</v>
      </c>
      <c r="F790">
        <v>0</v>
      </c>
      <c r="G790" t="s">
        <v>24</v>
      </c>
      <c r="H790">
        <v>115</v>
      </c>
      <c r="I790" t="s">
        <v>15</v>
      </c>
      <c r="J790">
        <v>1.5</v>
      </c>
      <c r="K790" t="s">
        <v>19</v>
      </c>
      <c r="L790">
        <v>0</v>
      </c>
    </row>
    <row r="791" spans="1:12" x14ac:dyDescent="0.3">
      <c r="A791">
        <v>34</v>
      </c>
      <c r="B791" t="s">
        <v>12</v>
      </c>
      <c r="C791" t="s">
        <v>23</v>
      </c>
      <c r="D791">
        <v>118</v>
      </c>
      <c r="E791">
        <v>182</v>
      </c>
      <c r="F791">
        <v>0</v>
      </c>
      <c r="G791" t="s">
        <v>24</v>
      </c>
      <c r="H791">
        <v>174</v>
      </c>
      <c r="I791" t="s">
        <v>15</v>
      </c>
      <c r="J791">
        <v>0</v>
      </c>
      <c r="K791" t="s">
        <v>16</v>
      </c>
      <c r="L791">
        <v>0</v>
      </c>
    </row>
    <row r="792" spans="1:12" x14ac:dyDescent="0.3">
      <c r="A792">
        <v>62</v>
      </c>
      <c r="B792" t="s">
        <v>17</v>
      </c>
      <c r="C792" t="s">
        <v>21</v>
      </c>
      <c r="D792">
        <v>138</v>
      </c>
      <c r="E792">
        <v>294</v>
      </c>
      <c r="F792">
        <v>1</v>
      </c>
      <c r="G792" t="s">
        <v>14</v>
      </c>
      <c r="H792">
        <v>106</v>
      </c>
      <c r="I792" t="s">
        <v>15</v>
      </c>
      <c r="J792">
        <v>1.9</v>
      </c>
      <c r="K792" t="s">
        <v>19</v>
      </c>
      <c r="L792">
        <v>1</v>
      </c>
    </row>
    <row r="793" spans="1:12" x14ac:dyDescent="0.3">
      <c r="A793">
        <v>51</v>
      </c>
      <c r="B793" t="s">
        <v>12</v>
      </c>
      <c r="C793" t="s">
        <v>21</v>
      </c>
      <c r="D793">
        <v>140</v>
      </c>
      <c r="E793">
        <v>298</v>
      </c>
      <c r="F793">
        <v>0</v>
      </c>
      <c r="G793" t="s">
        <v>14</v>
      </c>
      <c r="H793">
        <v>122</v>
      </c>
      <c r="I793" t="s">
        <v>22</v>
      </c>
      <c r="J793">
        <v>4.2</v>
      </c>
      <c r="K793" t="s">
        <v>19</v>
      </c>
      <c r="L793">
        <v>1</v>
      </c>
    </row>
    <row r="794" spans="1:12" x14ac:dyDescent="0.3">
      <c r="A794">
        <v>46</v>
      </c>
      <c r="B794" t="s">
        <v>12</v>
      </c>
      <c r="C794" t="s">
        <v>18</v>
      </c>
      <c r="D794">
        <v>150</v>
      </c>
      <c r="E794">
        <v>231</v>
      </c>
      <c r="F794">
        <v>0</v>
      </c>
      <c r="G794" t="s">
        <v>14</v>
      </c>
      <c r="H794">
        <v>147</v>
      </c>
      <c r="I794" t="s">
        <v>15</v>
      </c>
      <c r="J794">
        <v>3.6</v>
      </c>
      <c r="K794" t="s">
        <v>19</v>
      </c>
      <c r="L794">
        <v>1</v>
      </c>
    </row>
    <row r="795" spans="1:12" x14ac:dyDescent="0.3">
      <c r="A795">
        <v>67</v>
      </c>
      <c r="B795" t="s">
        <v>12</v>
      </c>
      <c r="C795" t="s">
        <v>21</v>
      </c>
      <c r="D795">
        <v>125</v>
      </c>
      <c r="E795">
        <v>254</v>
      </c>
      <c r="F795">
        <v>1</v>
      </c>
      <c r="G795" t="s">
        <v>14</v>
      </c>
      <c r="H795">
        <v>163</v>
      </c>
      <c r="I795" t="s">
        <v>15</v>
      </c>
      <c r="J795">
        <v>0.2</v>
      </c>
      <c r="K795" t="s">
        <v>19</v>
      </c>
      <c r="L795">
        <v>1</v>
      </c>
    </row>
    <row r="796" spans="1:12" x14ac:dyDescent="0.3">
      <c r="A796">
        <v>50</v>
      </c>
      <c r="B796" t="s">
        <v>12</v>
      </c>
      <c r="C796" t="s">
        <v>18</v>
      </c>
      <c r="D796">
        <v>129</v>
      </c>
      <c r="E796">
        <v>196</v>
      </c>
      <c r="F796">
        <v>0</v>
      </c>
      <c r="G796" t="s">
        <v>14</v>
      </c>
      <c r="H796">
        <v>163</v>
      </c>
      <c r="I796" t="s">
        <v>15</v>
      </c>
      <c r="J796">
        <v>0</v>
      </c>
      <c r="K796" t="s">
        <v>16</v>
      </c>
      <c r="L796">
        <v>0</v>
      </c>
    </row>
    <row r="797" spans="1:12" x14ac:dyDescent="0.3">
      <c r="A797">
        <v>42</v>
      </c>
      <c r="B797" t="s">
        <v>12</v>
      </c>
      <c r="C797" t="s">
        <v>18</v>
      </c>
      <c r="D797">
        <v>120</v>
      </c>
      <c r="E797">
        <v>240</v>
      </c>
      <c r="F797">
        <v>1</v>
      </c>
      <c r="G797" t="s">
        <v>14</v>
      </c>
      <c r="H797">
        <v>194</v>
      </c>
      <c r="I797" t="s">
        <v>15</v>
      </c>
      <c r="J797">
        <v>0.8</v>
      </c>
      <c r="K797" t="s">
        <v>25</v>
      </c>
      <c r="L797">
        <v>0</v>
      </c>
    </row>
    <row r="798" spans="1:12" x14ac:dyDescent="0.3">
      <c r="A798">
        <v>56</v>
      </c>
      <c r="B798" t="s">
        <v>17</v>
      </c>
      <c r="C798" t="s">
        <v>21</v>
      </c>
      <c r="D798">
        <v>134</v>
      </c>
      <c r="E798">
        <v>409</v>
      </c>
      <c r="F798">
        <v>0</v>
      </c>
      <c r="G798" t="s">
        <v>24</v>
      </c>
      <c r="H798">
        <v>150</v>
      </c>
      <c r="I798" t="s">
        <v>22</v>
      </c>
      <c r="J798">
        <v>1.9</v>
      </c>
      <c r="K798" t="s">
        <v>19</v>
      </c>
      <c r="L798">
        <v>1</v>
      </c>
    </row>
    <row r="799" spans="1:12" x14ac:dyDescent="0.3">
      <c r="A799">
        <v>41</v>
      </c>
      <c r="B799" t="s">
        <v>12</v>
      </c>
      <c r="C799" t="s">
        <v>21</v>
      </c>
      <c r="D799">
        <v>110</v>
      </c>
      <c r="E799">
        <v>172</v>
      </c>
      <c r="F799">
        <v>0</v>
      </c>
      <c r="G799" t="s">
        <v>24</v>
      </c>
      <c r="H799">
        <v>158</v>
      </c>
      <c r="I799" t="s">
        <v>15</v>
      </c>
      <c r="J799">
        <v>0</v>
      </c>
      <c r="K799" t="s">
        <v>16</v>
      </c>
      <c r="L799">
        <v>1</v>
      </c>
    </row>
    <row r="800" spans="1:12" x14ac:dyDescent="0.3">
      <c r="A800">
        <v>42</v>
      </c>
      <c r="B800" t="s">
        <v>17</v>
      </c>
      <c r="C800" t="s">
        <v>21</v>
      </c>
      <c r="D800">
        <v>102</v>
      </c>
      <c r="E800">
        <v>265</v>
      </c>
      <c r="F800">
        <v>0</v>
      </c>
      <c r="G800" t="s">
        <v>24</v>
      </c>
      <c r="H800">
        <v>122</v>
      </c>
      <c r="I800" t="s">
        <v>15</v>
      </c>
      <c r="J800">
        <v>0.6</v>
      </c>
      <c r="K800" t="s">
        <v>19</v>
      </c>
      <c r="L800">
        <v>0</v>
      </c>
    </row>
    <row r="801" spans="1:12" x14ac:dyDescent="0.3">
      <c r="A801">
        <v>53</v>
      </c>
      <c r="B801" t="s">
        <v>12</v>
      </c>
      <c r="C801" t="s">
        <v>18</v>
      </c>
      <c r="D801">
        <v>130</v>
      </c>
      <c r="E801">
        <v>246</v>
      </c>
      <c r="F801">
        <v>1</v>
      </c>
      <c r="G801" t="s">
        <v>24</v>
      </c>
      <c r="H801">
        <v>173</v>
      </c>
      <c r="I801" t="s">
        <v>15</v>
      </c>
      <c r="J801">
        <v>0</v>
      </c>
      <c r="K801" t="s">
        <v>16</v>
      </c>
      <c r="L801">
        <v>0</v>
      </c>
    </row>
    <row r="802" spans="1:12" x14ac:dyDescent="0.3">
      <c r="A802">
        <v>43</v>
      </c>
      <c r="B802" t="s">
        <v>12</v>
      </c>
      <c r="C802" t="s">
        <v>18</v>
      </c>
      <c r="D802">
        <v>130</v>
      </c>
      <c r="E802">
        <v>315</v>
      </c>
      <c r="F802">
        <v>0</v>
      </c>
      <c r="G802" t="s">
        <v>14</v>
      </c>
      <c r="H802">
        <v>162</v>
      </c>
      <c r="I802" t="s">
        <v>15</v>
      </c>
      <c r="J802">
        <v>1.9</v>
      </c>
      <c r="K802" t="s">
        <v>16</v>
      </c>
      <c r="L802">
        <v>0</v>
      </c>
    </row>
    <row r="803" spans="1:12" x14ac:dyDescent="0.3">
      <c r="A803">
        <v>56</v>
      </c>
      <c r="B803" t="s">
        <v>12</v>
      </c>
      <c r="C803" t="s">
        <v>21</v>
      </c>
      <c r="D803">
        <v>132</v>
      </c>
      <c r="E803">
        <v>184</v>
      </c>
      <c r="F803">
        <v>0</v>
      </c>
      <c r="G803" t="s">
        <v>24</v>
      </c>
      <c r="H803">
        <v>105</v>
      </c>
      <c r="I803" t="s">
        <v>22</v>
      </c>
      <c r="J803">
        <v>2.1</v>
      </c>
      <c r="K803" t="s">
        <v>19</v>
      </c>
      <c r="L803">
        <v>1</v>
      </c>
    </row>
    <row r="804" spans="1:12" x14ac:dyDescent="0.3">
      <c r="A804">
        <v>52</v>
      </c>
      <c r="B804" t="s">
        <v>12</v>
      </c>
      <c r="C804" t="s">
        <v>21</v>
      </c>
      <c r="D804">
        <v>108</v>
      </c>
      <c r="E804">
        <v>233</v>
      </c>
      <c r="F804">
        <v>1</v>
      </c>
      <c r="G804" t="s">
        <v>14</v>
      </c>
      <c r="H804">
        <v>147</v>
      </c>
      <c r="I804" t="s">
        <v>15</v>
      </c>
      <c r="J804">
        <v>0.1</v>
      </c>
      <c r="K804" t="s">
        <v>16</v>
      </c>
      <c r="L804">
        <v>0</v>
      </c>
    </row>
    <row r="805" spans="1:12" x14ac:dyDescent="0.3">
      <c r="A805">
        <v>62</v>
      </c>
      <c r="B805" t="s">
        <v>17</v>
      </c>
      <c r="C805" t="s">
        <v>21</v>
      </c>
      <c r="D805">
        <v>140</v>
      </c>
      <c r="E805">
        <v>394</v>
      </c>
      <c r="F805">
        <v>0</v>
      </c>
      <c r="G805" t="s">
        <v>24</v>
      </c>
      <c r="H805">
        <v>157</v>
      </c>
      <c r="I805" t="s">
        <v>15</v>
      </c>
      <c r="J805">
        <v>1.2</v>
      </c>
      <c r="K805" t="s">
        <v>19</v>
      </c>
      <c r="L805">
        <v>0</v>
      </c>
    </row>
    <row r="806" spans="1:12" x14ac:dyDescent="0.3">
      <c r="A806">
        <v>70</v>
      </c>
      <c r="B806" t="s">
        <v>12</v>
      </c>
      <c r="C806" t="s">
        <v>18</v>
      </c>
      <c r="D806">
        <v>160</v>
      </c>
      <c r="E806">
        <v>269</v>
      </c>
      <c r="F806">
        <v>0</v>
      </c>
      <c r="G806" t="s">
        <v>14</v>
      </c>
      <c r="H806">
        <v>112</v>
      </c>
      <c r="I806" t="s">
        <v>22</v>
      </c>
      <c r="J806">
        <v>2.9</v>
      </c>
      <c r="K806" t="s">
        <v>19</v>
      </c>
      <c r="L806">
        <v>1</v>
      </c>
    </row>
    <row r="807" spans="1:12" x14ac:dyDescent="0.3">
      <c r="A807">
        <v>54</v>
      </c>
      <c r="B807" t="s">
        <v>12</v>
      </c>
      <c r="C807" t="s">
        <v>21</v>
      </c>
      <c r="D807">
        <v>140</v>
      </c>
      <c r="E807">
        <v>239</v>
      </c>
      <c r="F807">
        <v>0</v>
      </c>
      <c r="G807" t="s">
        <v>14</v>
      </c>
      <c r="H807">
        <v>160</v>
      </c>
      <c r="I807" t="s">
        <v>15</v>
      </c>
      <c r="J807">
        <v>1.2</v>
      </c>
      <c r="K807" t="s">
        <v>16</v>
      </c>
      <c r="L807">
        <v>0</v>
      </c>
    </row>
    <row r="808" spans="1:12" x14ac:dyDescent="0.3">
      <c r="A808">
        <v>70</v>
      </c>
      <c r="B808" t="s">
        <v>12</v>
      </c>
      <c r="C808" t="s">
        <v>21</v>
      </c>
      <c r="D808">
        <v>145</v>
      </c>
      <c r="E808">
        <v>174</v>
      </c>
      <c r="F808">
        <v>0</v>
      </c>
      <c r="G808" t="s">
        <v>14</v>
      </c>
      <c r="H808">
        <v>125</v>
      </c>
      <c r="I808" t="s">
        <v>22</v>
      </c>
      <c r="J808">
        <v>2.6</v>
      </c>
      <c r="K808" t="s">
        <v>25</v>
      </c>
      <c r="L808">
        <v>1</v>
      </c>
    </row>
    <row r="809" spans="1:12" x14ac:dyDescent="0.3">
      <c r="A809">
        <v>54</v>
      </c>
      <c r="B809" t="s">
        <v>12</v>
      </c>
      <c r="C809" t="s">
        <v>13</v>
      </c>
      <c r="D809">
        <v>108</v>
      </c>
      <c r="E809">
        <v>309</v>
      </c>
      <c r="F809">
        <v>0</v>
      </c>
      <c r="G809" t="s">
        <v>14</v>
      </c>
      <c r="H809">
        <v>156</v>
      </c>
      <c r="I809" t="s">
        <v>15</v>
      </c>
      <c r="J809">
        <v>0</v>
      </c>
      <c r="K809" t="s">
        <v>16</v>
      </c>
      <c r="L809">
        <v>0</v>
      </c>
    </row>
    <row r="810" spans="1:12" x14ac:dyDescent="0.3">
      <c r="A810">
        <v>35</v>
      </c>
      <c r="B810" t="s">
        <v>12</v>
      </c>
      <c r="C810" t="s">
        <v>21</v>
      </c>
      <c r="D810">
        <v>126</v>
      </c>
      <c r="E810">
        <v>282</v>
      </c>
      <c r="F810">
        <v>0</v>
      </c>
      <c r="G810" t="s">
        <v>24</v>
      </c>
      <c r="H810">
        <v>156</v>
      </c>
      <c r="I810" t="s">
        <v>22</v>
      </c>
      <c r="J810">
        <v>0</v>
      </c>
      <c r="K810" t="s">
        <v>16</v>
      </c>
      <c r="L810">
        <v>1</v>
      </c>
    </row>
    <row r="811" spans="1:12" x14ac:dyDescent="0.3">
      <c r="A811">
        <v>48</v>
      </c>
      <c r="B811" t="s">
        <v>12</v>
      </c>
      <c r="C811" t="s">
        <v>18</v>
      </c>
      <c r="D811">
        <v>124</v>
      </c>
      <c r="E811">
        <v>255</v>
      </c>
      <c r="F811">
        <v>1</v>
      </c>
      <c r="G811" t="s">
        <v>14</v>
      </c>
      <c r="H811">
        <v>175</v>
      </c>
      <c r="I811" t="s">
        <v>15</v>
      </c>
      <c r="J811">
        <v>0</v>
      </c>
      <c r="K811" t="s">
        <v>16</v>
      </c>
      <c r="L811">
        <v>0</v>
      </c>
    </row>
    <row r="812" spans="1:12" x14ac:dyDescent="0.3">
      <c r="A812">
        <v>55</v>
      </c>
      <c r="B812" t="s">
        <v>17</v>
      </c>
      <c r="C812" t="s">
        <v>13</v>
      </c>
      <c r="D812">
        <v>135</v>
      </c>
      <c r="E812">
        <v>250</v>
      </c>
      <c r="F812">
        <v>0</v>
      </c>
      <c r="G812" t="s">
        <v>24</v>
      </c>
      <c r="H812">
        <v>161</v>
      </c>
      <c r="I812" t="s">
        <v>15</v>
      </c>
      <c r="J812">
        <v>1.4</v>
      </c>
      <c r="K812" t="s">
        <v>19</v>
      </c>
      <c r="L812">
        <v>0</v>
      </c>
    </row>
    <row r="813" spans="1:12" x14ac:dyDescent="0.3">
      <c r="A813">
        <v>58</v>
      </c>
      <c r="B813" t="s">
        <v>17</v>
      </c>
      <c r="C813" t="s">
        <v>21</v>
      </c>
      <c r="D813">
        <v>100</v>
      </c>
      <c r="E813">
        <v>248</v>
      </c>
      <c r="F813">
        <v>0</v>
      </c>
      <c r="G813" t="s">
        <v>24</v>
      </c>
      <c r="H813">
        <v>122</v>
      </c>
      <c r="I813" t="s">
        <v>15</v>
      </c>
      <c r="J813">
        <v>1</v>
      </c>
      <c r="K813" t="s">
        <v>19</v>
      </c>
      <c r="L813">
        <v>0</v>
      </c>
    </row>
    <row r="814" spans="1:12" x14ac:dyDescent="0.3">
      <c r="A814">
        <v>54</v>
      </c>
      <c r="B814" t="s">
        <v>17</v>
      </c>
      <c r="C814" t="s">
        <v>18</v>
      </c>
      <c r="D814">
        <v>110</v>
      </c>
      <c r="E814">
        <v>214</v>
      </c>
      <c r="F814">
        <v>0</v>
      </c>
      <c r="G814" t="s">
        <v>14</v>
      </c>
      <c r="H814">
        <v>158</v>
      </c>
      <c r="I814" t="s">
        <v>15</v>
      </c>
      <c r="J814">
        <v>1.6</v>
      </c>
      <c r="K814" t="s">
        <v>19</v>
      </c>
      <c r="L814">
        <v>0</v>
      </c>
    </row>
    <row r="815" spans="1:12" x14ac:dyDescent="0.3">
      <c r="A815">
        <v>69</v>
      </c>
      <c r="B815" t="s">
        <v>17</v>
      </c>
      <c r="C815" t="s">
        <v>23</v>
      </c>
      <c r="D815">
        <v>140</v>
      </c>
      <c r="E815">
        <v>239</v>
      </c>
      <c r="F815">
        <v>0</v>
      </c>
      <c r="G815" t="s">
        <v>14</v>
      </c>
      <c r="H815">
        <v>151</v>
      </c>
      <c r="I815" t="s">
        <v>15</v>
      </c>
      <c r="J815">
        <v>1.8</v>
      </c>
      <c r="K815" t="s">
        <v>16</v>
      </c>
      <c r="L815">
        <v>0</v>
      </c>
    </row>
    <row r="816" spans="1:12" x14ac:dyDescent="0.3">
      <c r="A816">
        <v>77</v>
      </c>
      <c r="B816" t="s">
        <v>12</v>
      </c>
      <c r="C816" t="s">
        <v>21</v>
      </c>
      <c r="D816">
        <v>125</v>
      </c>
      <c r="E816">
        <v>304</v>
      </c>
      <c r="F816">
        <v>0</v>
      </c>
      <c r="G816" t="s">
        <v>24</v>
      </c>
      <c r="H816">
        <v>162</v>
      </c>
      <c r="I816" t="s">
        <v>22</v>
      </c>
      <c r="J816">
        <v>0</v>
      </c>
      <c r="K816" t="s">
        <v>16</v>
      </c>
      <c r="L816">
        <v>1</v>
      </c>
    </row>
    <row r="817" spans="1:12" x14ac:dyDescent="0.3">
      <c r="A817">
        <v>68</v>
      </c>
      <c r="B817" t="s">
        <v>12</v>
      </c>
      <c r="C817" t="s">
        <v>18</v>
      </c>
      <c r="D817">
        <v>118</v>
      </c>
      <c r="E817">
        <v>277</v>
      </c>
      <c r="F817">
        <v>0</v>
      </c>
      <c r="G817" t="s">
        <v>14</v>
      </c>
      <c r="H817">
        <v>151</v>
      </c>
      <c r="I817" t="s">
        <v>15</v>
      </c>
      <c r="J817">
        <v>1</v>
      </c>
      <c r="K817" t="s">
        <v>16</v>
      </c>
      <c r="L817">
        <v>0</v>
      </c>
    </row>
    <row r="818" spans="1:12" x14ac:dyDescent="0.3">
      <c r="A818">
        <v>58</v>
      </c>
      <c r="B818" t="s">
        <v>12</v>
      </c>
      <c r="C818" t="s">
        <v>21</v>
      </c>
      <c r="D818">
        <v>125</v>
      </c>
      <c r="E818">
        <v>300</v>
      </c>
      <c r="F818">
        <v>0</v>
      </c>
      <c r="G818" t="s">
        <v>24</v>
      </c>
      <c r="H818">
        <v>171</v>
      </c>
      <c r="I818" t="s">
        <v>15</v>
      </c>
      <c r="J818">
        <v>0</v>
      </c>
      <c r="K818" t="s">
        <v>16</v>
      </c>
      <c r="L818">
        <v>1</v>
      </c>
    </row>
    <row r="819" spans="1:12" x14ac:dyDescent="0.3">
      <c r="A819">
        <v>60</v>
      </c>
      <c r="B819" t="s">
        <v>12</v>
      </c>
      <c r="C819" t="s">
        <v>21</v>
      </c>
      <c r="D819">
        <v>125</v>
      </c>
      <c r="E819">
        <v>258</v>
      </c>
      <c r="F819">
        <v>0</v>
      </c>
      <c r="G819" t="s">
        <v>24</v>
      </c>
      <c r="H819">
        <v>141</v>
      </c>
      <c r="I819" t="s">
        <v>22</v>
      </c>
      <c r="J819">
        <v>2.8</v>
      </c>
      <c r="K819" t="s">
        <v>19</v>
      </c>
      <c r="L819">
        <v>1</v>
      </c>
    </row>
    <row r="820" spans="1:12" x14ac:dyDescent="0.3">
      <c r="A820">
        <v>51</v>
      </c>
      <c r="B820" t="s">
        <v>12</v>
      </c>
      <c r="C820" t="s">
        <v>21</v>
      </c>
      <c r="D820">
        <v>140</v>
      </c>
      <c r="E820">
        <v>299</v>
      </c>
      <c r="F820">
        <v>0</v>
      </c>
      <c r="G820" t="s">
        <v>14</v>
      </c>
      <c r="H820">
        <v>173</v>
      </c>
      <c r="I820" t="s">
        <v>22</v>
      </c>
      <c r="J820">
        <v>1.6</v>
      </c>
      <c r="K820" t="s">
        <v>16</v>
      </c>
      <c r="L820">
        <v>1</v>
      </c>
    </row>
    <row r="821" spans="1:12" x14ac:dyDescent="0.3">
      <c r="A821">
        <v>55</v>
      </c>
      <c r="B821" t="s">
        <v>12</v>
      </c>
      <c r="C821" t="s">
        <v>21</v>
      </c>
      <c r="D821">
        <v>160</v>
      </c>
      <c r="E821">
        <v>289</v>
      </c>
      <c r="F821">
        <v>0</v>
      </c>
      <c r="G821" t="s">
        <v>24</v>
      </c>
      <c r="H821">
        <v>145</v>
      </c>
      <c r="I821" t="s">
        <v>22</v>
      </c>
      <c r="J821">
        <v>0.8</v>
      </c>
      <c r="K821" t="s">
        <v>19</v>
      </c>
      <c r="L821">
        <v>1</v>
      </c>
    </row>
    <row r="822" spans="1:12" x14ac:dyDescent="0.3">
      <c r="A822">
        <v>52</v>
      </c>
      <c r="B822" t="s">
        <v>12</v>
      </c>
      <c r="C822" t="s">
        <v>23</v>
      </c>
      <c r="D822">
        <v>152</v>
      </c>
      <c r="E822">
        <v>298</v>
      </c>
      <c r="F822">
        <v>1</v>
      </c>
      <c r="G822" t="s">
        <v>14</v>
      </c>
      <c r="H822">
        <v>178</v>
      </c>
      <c r="I822" t="s">
        <v>15</v>
      </c>
      <c r="J822">
        <v>1.2</v>
      </c>
      <c r="K822" t="s">
        <v>19</v>
      </c>
      <c r="L822">
        <v>0</v>
      </c>
    </row>
    <row r="823" spans="1:12" x14ac:dyDescent="0.3">
      <c r="A823">
        <v>60</v>
      </c>
      <c r="B823" t="s">
        <v>17</v>
      </c>
      <c r="C823" t="s">
        <v>18</v>
      </c>
      <c r="D823">
        <v>102</v>
      </c>
      <c r="E823">
        <v>318</v>
      </c>
      <c r="F823">
        <v>0</v>
      </c>
      <c r="G823" t="s">
        <v>14</v>
      </c>
      <c r="H823">
        <v>160</v>
      </c>
      <c r="I823" t="s">
        <v>15</v>
      </c>
      <c r="J823">
        <v>0</v>
      </c>
      <c r="K823" t="s">
        <v>16</v>
      </c>
      <c r="L823">
        <v>0</v>
      </c>
    </row>
    <row r="824" spans="1:12" x14ac:dyDescent="0.3">
      <c r="A824">
        <v>58</v>
      </c>
      <c r="B824" t="s">
        <v>12</v>
      </c>
      <c r="C824" t="s">
        <v>18</v>
      </c>
      <c r="D824">
        <v>105</v>
      </c>
      <c r="E824">
        <v>240</v>
      </c>
      <c r="F824">
        <v>0</v>
      </c>
      <c r="G824" t="s">
        <v>24</v>
      </c>
      <c r="H824">
        <v>154</v>
      </c>
      <c r="I824" t="s">
        <v>22</v>
      </c>
      <c r="J824">
        <v>0.6</v>
      </c>
      <c r="K824" t="s">
        <v>19</v>
      </c>
      <c r="L824">
        <v>0</v>
      </c>
    </row>
    <row r="825" spans="1:12" x14ac:dyDescent="0.3">
      <c r="A825">
        <v>64</v>
      </c>
      <c r="B825" t="s">
        <v>12</v>
      </c>
      <c r="C825" t="s">
        <v>18</v>
      </c>
      <c r="D825">
        <v>125</v>
      </c>
      <c r="E825">
        <v>309</v>
      </c>
      <c r="F825">
        <v>0</v>
      </c>
      <c r="G825" t="s">
        <v>14</v>
      </c>
      <c r="H825">
        <v>131</v>
      </c>
      <c r="I825" t="s">
        <v>22</v>
      </c>
      <c r="J825">
        <v>1.8</v>
      </c>
      <c r="K825" t="s">
        <v>19</v>
      </c>
      <c r="L825">
        <v>1</v>
      </c>
    </row>
    <row r="826" spans="1:12" x14ac:dyDescent="0.3">
      <c r="A826">
        <v>37</v>
      </c>
      <c r="B826" t="s">
        <v>12</v>
      </c>
      <c r="C826" t="s">
        <v>18</v>
      </c>
      <c r="D826">
        <v>130</v>
      </c>
      <c r="E826">
        <v>250</v>
      </c>
      <c r="F826">
        <v>0</v>
      </c>
      <c r="G826" t="s">
        <v>14</v>
      </c>
      <c r="H826">
        <v>187</v>
      </c>
      <c r="I826" t="s">
        <v>15</v>
      </c>
      <c r="J826">
        <v>3.5</v>
      </c>
      <c r="K826" t="s">
        <v>25</v>
      </c>
      <c r="L826">
        <v>0</v>
      </c>
    </row>
    <row r="827" spans="1:12" x14ac:dyDescent="0.3">
      <c r="A827">
        <v>59</v>
      </c>
      <c r="B827" t="s">
        <v>12</v>
      </c>
      <c r="C827" t="s">
        <v>23</v>
      </c>
      <c r="D827">
        <v>170</v>
      </c>
      <c r="E827">
        <v>288</v>
      </c>
      <c r="F827">
        <v>0</v>
      </c>
      <c r="G827" t="s">
        <v>24</v>
      </c>
      <c r="H827">
        <v>159</v>
      </c>
      <c r="I827" t="s">
        <v>15</v>
      </c>
      <c r="J827">
        <v>0.2</v>
      </c>
      <c r="K827" t="s">
        <v>19</v>
      </c>
      <c r="L827">
        <v>1</v>
      </c>
    </row>
    <row r="828" spans="1:12" x14ac:dyDescent="0.3">
      <c r="A828">
        <v>51</v>
      </c>
      <c r="B828" t="s">
        <v>12</v>
      </c>
      <c r="C828" t="s">
        <v>18</v>
      </c>
      <c r="D828">
        <v>125</v>
      </c>
      <c r="E828">
        <v>245</v>
      </c>
      <c r="F828">
        <v>1</v>
      </c>
      <c r="G828" t="s">
        <v>24</v>
      </c>
      <c r="H828">
        <v>166</v>
      </c>
      <c r="I828" t="s">
        <v>15</v>
      </c>
      <c r="J828">
        <v>2.4</v>
      </c>
      <c r="K828" t="s">
        <v>19</v>
      </c>
      <c r="L828">
        <v>0</v>
      </c>
    </row>
    <row r="829" spans="1:12" x14ac:dyDescent="0.3">
      <c r="A829">
        <v>43</v>
      </c>
      <c r="B829" t="s">
        <v>17</v>
      </c>
      <c r="C829" t="s">
        <v>18</v>
      </c>
      <c r="D829">
        <v>122</v>
      </c>
      <c r="E829">
        <v>213</v>
      </c>
      <c r="F829">
        <v>0</v>
      </c>
      <c r="G829" t="s">
        <v>14</v>
      </c>
      <c r="H829">
        <v>165</v>
      </c>
      <c r="I829" t="s">
        <v>15</v>
      </c>
      <c r="J829">
        <v>0.2</v>
      </c>
      <c r="K829" t="s">
        <v>19</v>
      </c>
      <c r="L829">
        <v>0</v>
      </c>
    </row>
    <row r="830" spans="1:12" x14ac:dyDescent="0.3">
      <c r="A830">
        <v>58</v>
      </c>
      <c r="B830" t="s">
        <v>12</v>
      </c>
      <c r="C830" t="s">
        <v>21</v>
      </c>
      <c r="D830">
        <v>128</v>
      </c>
      <c r="E830">
        <v>216</v>
      </c>
      <c r="F830">
        <v>0</v>
      </c>
      <c r="G830" t="s">
        <v>24</v>
      </c>
      <c r="H830">
        <v>131</v>
      </c>
      <c r="I830" t="s">
        <v>22</v>
      </c>
      <c r="J830">
        <v>2.2000000000000002</v>
      </c>
      <c r="K830" t="s">
        <v>19</v>
      </c>
      <c r="L830">
        <v>1</v>
      </c>
    </row>
    <row r="831" spans="1:12" x14ac:dyDescent="0.3">
      <c r="A831">
        <v>29</v>
      </c>
      <c r="B831" t="s">
        <v>12</v>
      </c>
      <c r="C831" t="s">
        <v>13</v>
      </c>
      <c r="D831">
        <v>130</v>
      </c>
      <c r="E831">
        <v>204</v>
      </c>
      <c r="F831">
        <v>0</v>
      </c>
      <c r="G831" t="s">
        <v>24</v>
      </c>
      <c r="H831">
        <v>202</v>
      </c>
      <c r="I831" t="s">
        <v>15</v>
      </c>
      <c r="J831">
        <v>0</v>
      </c>
      <c r="K831" t="s">
        <v>16</v>
      </c>
      <c r="L831">
        <v>0</v>
      </c>
    </row>
    <row r="832" spans="1:12" x14ac:dyDescent="0.3">
      <c r="A832">
        <v>41</v>
      </c>
      <c r="B832" t="s">
        <v>17</v>
      </c>
      <c r="C832" t="s">
        <v>13</v>
      </c>
      <c r="D832">
        <v>130</v>
      </c>
      <c r="E832">
        <v>204</v>
      </c>
      <c r="F832">
        <v>0</v>
      </c>
      <c r="G832" t="s">
        <v>24</v>
      </c>
      <c r="H832">
        <v>172</v>
      </c>
      <c r="I832" t="s">
        <v>15</v>
      </c>
      <c r="J832">
        <v>1.4</v>
      </c>
      <c r="K832" t="s">
        <v>16</v>
      </c>
      <c r="L832">
        <v>0</v>
      </c>
    </row>
    <row r="833" spans="1:12" x14ac:dyDescent="0.3">
      <c r="A833">
        <v>63</v>
      </c>
      <c r="B833" t="s">
        <v>17</v>
      </c>
      <c r="C833" t="s">
        <v>18</v>
      </c>
      <c r="D833">
        <v>135</v>
      </c>
      <c r="E833">
        <v>252</v>
      </c>
      <c r="F833">
        <v>0</v>
      </c>
      <c r="G833" t="s">
        <v>24</v>
      </c>
      <c r="H833">
        <v>172</v>
      </c>
      <c r="I833" t="s">
        <v>15</v>
      </c>
      <c r="J833">
        <v>0</v>
      </c>
      <c r="K833" t="s">
        <v>16</v>
      </c>
      <c r="L833">
        <v>0</v>
      </c>
    </row>
    <row r="834" spans="1:12" x14ac:dyDescent="0.3">
      <c r="A834">
        <v>51</v>
      </c>
      <c r="B834" t="s">
        <v>12</v>
      </c>
      <c r="C834" t="s">
        <v>18</v>
      </c>
      <c r="D834">
        <v>94</v>
      </c>
      <c r="E834">
        <v>227</v>
      </c>
      <c r="F834">
        <v>0</v>
      </c>
      <c r="G834" t="s">
        <v>14</v>
      </c>
      <c r="H834">
        <v>154</v>
      </c>
      <c r="I834" t="s">
        <v>22</v>
      </c>
      <c r="J834">
        <v>0</v>
      </c>
      <c r="K834" t="s">
        <v>16</v>
      </c>
      <c r="L834">
        <v>0</v>
      </c>
    </row>
    <row r="835" spans="1:12" x14ac:dyDescent="0.3">
      <c r="A835">
        <v>54</v>
      </c>
      <c r="B835" t="s">
        <v>12</v>
      </c>
      <c r="C835" t="s">
        <v>18</v>
      </c>
      <c r="D835">
        <v>120</v>
      </c>
      <c r="E835">
        <v>258</v>
      </c>
      <c r="F835">
        <v>0</v>
      </c>
      <c r="G835" t="s">
        <v>24</v>
      </c>
      <c r="H835">
        <v>147</v>
      </c>
      <c r="I835" t="s">
        <v>15</v>
      </c>
      <c r="J835">
        <v>0.4</v>
      </c>
      <c r="K835" t="s">
        <v>19</v>
      </c>
      <c r="L835">
        <v>0</v>
      </c>
    </row>
    <row r="836" spans="1:12" x14ac:dyDescent="0.3">
      <c r="A836">
        <v>44</v>
      </c>
      <c r="B836" t="s">
        <v>12</v>
      </c>
      <c r="C836" t="s">
        <v>13</v>
      </c>
      <c r="D836">
        <v>120</v>
      </c>
      <c r="E836">
        <v>220</v>
      </c>
      <c r="F836">
        <v>0</v>
      </c>
      <c r="G836" t="s">
        <v>14</v>
      </c>
      <c r="H836">
        <v>170</v>
      </c>
      <c r="I836" t="s">
        <v>15</v>
      </c>
      <c r="J836">
        <v>0</v>
      </c>
      <c r="K836" t="s">
        <v>16</v>
      </c>
      <c r="L836">
        <v>0</v>
      </c>
    </row>
    <row r="837" spans="1:12" x14ac:dyDescent="0.3">
      <c r="A837">
        <v>54</v>
      </c>
      <c r="B837" t="s">
        <v>12</v>
      </c>
      <c r="C837" t="s">
        <v>21</v>
      </c>
      <c r="D837">
        <v>110</v>
      </c>
      <c r="E837">
        <v>239</v>
      </c>
      <c r="F837">
        <v>0</v>
      </c>
      <c r="G837" t="s">
        <v>14</v>
      </c>
      <c r="H837">
        <v>126</v>
      </c>
      <c r="I837" t="s">
        <v>22</v>
      </c>
      <c r="J837">
        <v>2.8</v>
      </c>
      <c r="K837" t="s">
        <v>19</v>
      </c>
      <c r="L837">
        <v>1</v>
      </c>
    </row>
    <row r="838" spans="1:12" x14ac:dyDescent="0.3">
      <c r="A838">
        <v>65</v>
      </c>
      <c r="B838" t="s">
        <v>12</v>
      </c>
      <c r="C838" t="s">
        <v>21</v>
      </c>
      <c r="D838">
        <v>135</v>
      </c>
      <c r="E838">
        <v>254</v>
      </c>
      <c r="F838">
        <v>0</v>
      </c>
      <c r="G838" t="s">
        <v>24</v>
      </c>
      <c r="H838">
        <v>127</v>
      </c>
      <c r="I838" t="s">
        <v>15</v>
      </c>
      <c r="J838">
        <v>2.8</v>
      </c>
      <c r="K838" t="s">
        <v>19</v>
      </c>
      <c r="L838">
        <v>1</v>
      </c>
    </row>
    <row r="839" spans="1:12" x14ac:dyDescent="0.3">
      <c r="A839">
        <v>57</v>
      </c>
      <c r="B839" t="s">
        <v>12</v>
      </c>
      <c r="C839" t="s">
        <v>18</v>
      </c>
      <c r="D839">
        <v>150</v>
      </c>
      <c r="E839">
        <v>168</v>
      </c>
      <c r="F839">
        <v>0</v>
      </c>
      <c r="G839" t="s">
        <v>14</v>
      </c>
      <c r="H839">
        <v>174</v>
      </c>
      <c r="I839" t="s">
        <v>15</v>
      </c>
      <c r="J839">
        <v>1.6</v>
      </c>
      <c r="K839" t="s">
        <v>16</v>
      </c>
      <c r="L839">
        <v>0</v>
      </c>
    </row>
    <row r="840" spans="1:12" x14ac:dyDescent="0.3">
      <c r="A840">
        <v>63</v>
      </c>
      <c r="B840" t="s">
        <v>12</v>
      </c>
      <c r="C840" t="s">
        <v>21</v>
      </c>
      <c r="D840">
        <v>130</v>
      </c>
      <c r="E840">
        <v>330</v>
      </c>
      <c r="F840">
        <v>1</v>
      </c>
      <c r="G840" t="s">
        <v>24</v>
      </c>
      <c r="H840">
        <v>132</v>
      </c>
      <c r="I840" t="s">
        <v>22</v>
      </c>
      <c r="J840">
        <v>1.8</v>
      </c>
      <c r="K840" t="s">
        <v>16</v>
      </c>
      <c r="L840">
        <v>1</v>
      </c>
    </row>
    <row r="841" spans="1:12" x14ac:dyDescent="0.3">
      <c r="A841">
        <v>35</v>
      </c>
      <c r="B841" t="s">
        <v>17</v>
      </c>
      <c r="C841" t="s">
        <v>21</v>
      </c>
      <c r="D841">
        <v>138</v>
      </c>
      <c r="E841">
        <v>183</v>
      </c>
      <c r="F841">
        <v>0</v>
      </c>
      <c r="G841" t="s">
        <v>14</v>
      </c>
      <c r="H841">
        <v>182</v>
      </c>
      <c r="I841" t="s">
        <v>15</v>
      </c>
      <c r="J841">
        <v>1.4</v>
      </c>
      <c r="K841" t="s">
        <v>16</v>
      </c>
      <c r="L841">
        <v>0</v>
      </c>
    </row>
    <row r="842" spans="1:12" x14ac:dyDescent="0.3">
      <c r="A842">
        <v>41</v>
      </c>
      <c r="B842" t="s">
        <v>12</v>
      </c>
      <c r="C842" t="s">
        <v>13</v>
      </c>
      <c r="D842">
        <v>135</v>
      </c>
      <c r="E842">
        <v>203</v>
      </c>
      <c r="F842">
        <v>0</v>
      </c>
      <c r="G842" t="s">
        <v>14</v>
      </c>
      <c r="H842">
        <v>132</v>
      </c>
      <c r="I842" t="s">
        <v>15</v>
      </c>
      <c r="J842">
        <v>0</v>
      </c>
      <c r="K842" t="s">
        <v>19</v>
      </c>
      <c r="L842">
        <v>0</v>
      </c>
    </row>
    <row r="843" spans="1:12" x14ac:dyDescent="0.3">
      <c r="A843">
        <v>62</v>
      </c>
      <c r="B843" t="s">
        <v>17</v>
      </c>
      <c r="C843" t="s">
        <v>18</v>
      </c>
      <c r="D843">
        <v>130</v>
      </c>
      <c r="E843">
        <v>263</v>
      </c>
      <c r="F843">
        <v>0</v>
      </c>
      <c r="G843" t="s">
        <v>14</v>
      </c>
      <c r="H843">
        <v>97</v>
      </c>
      <c r="I843" t="s">
        <v>15</v>
      </c>
      <c r="J843">
        <v>1.2</v>
      </c>
      <c r="K843" t="s">
        <v>19</v>
      </c>
      <c r="L843">
        <v>1</v>
      </c>
    </row>
    <row r="844" spans="1:12" x14ac:dyDescent="0.3">
      <c r="A844">
        <v>43</v>
      </c>
      <c r="B844" t="s">
        <v>17</v>
      </c>
      <c r="C844" t="s">
        <v>21</v>
      </c>
      <c r="D844">
        <v>132</v>
      </c>
      <c r="E844">
        <v>341</v>
      </c>
      <c r="F844">
        <v>1</v>
      </c>
      <c r="G844" t="s">
        <v>24</v>
      </c>
      <c r="H844">
        <v>136</v>
      </c>
      <c r="I844" t="s">
        <v>22</v>
      </c>
      <c r="J844">
        <v>3</v>
      </c>
      <c r="K844" t="s">
        <v>19</v>
      </c>
      <c r="L844">
        <v>1</v>
      </c>
    </row>
    <row r="845" spans="1:12" x14ac:dyDescent="0.3">
      <c r="A845">
        <v>58</v>
      </c>
      <c r="B845" t="s">
        <v>17</v>
      </c>
      <c r="C845" t="s">
        <v>23</v>
      </c>
      <c r="D845">
        <v>150</v>
      </c>
      <c r="E845">
        <v>283</v>
      </c>
      <c r="F845">
        <v>1</v>
      </c>
      <c r="G845" t="s">
        <v>24</v>
      </c>
      <c r="H845">
        <v>162</v>
      </c>
      <c r="I845" t="s">
        <v>15</v>
      </c>
      <c r="J845">
        <v>1</v>
      </c>
      <c r="K845" t="s">
        <v>16</v>
      </c>
      <c r="L845">
        <v>0</v>
      </c>
    </row>
    <row r="846" spans="1:12" x14ac:dyDescent="0.3">
      <c r="A846">
        <v>52</v>
      </c>
      <c r="B846" t="s">
        <v>12</v>
      </c>
      <c r="C846" t="s">
        <v>23</v>
      </c>
      <c r="D846">
        <v>118</v>
      </c>
      <c r="E846">
        <v>186</v>
      </c>
      <c r="F846">
        <v>0</v>
      </c>
      <c r="G846" t="s">
        <v>24</v>
      </c>
      <c r="H846">
        <v>190</v>
      </c>
      <c r="I846" t="s">
        <v>15</v>
      </c>
      <c r="J846">
        <v>0</v>
      </c>
      <c r="K846" t="s">
        <v>19</v>
      </c>
      <c r="L846">
        <v>0</v>
      </c>
    </row>
    <row r="847" spans="1:12" x14ac:dyDescent="0.3">
      <c r="A847">
        <v>61</v>
      </c>
      <c r="B847" t="s">
        <v>17</v>
      </c>
      <c r="C847" t="s">
        <v>21</v>
      </c>
      <c r="D847">
        <v>145</v>
      </c>
      <c r="E847">
        <v>307</v>
      </c>
      <c r="F847">
        <v>0</v>
      </c>
      <c r="G847" t="s">
        <v>24</v>
      </c>
      <c r="H847">
        <v>146</v>
      </c>
      <c r="I847" t="s">
        <v>22</v>
      </c>
      <c r="J847">
        <v>1</v>
      </c>
      <c r="K847" t="s">
        <v>19</v>
      </c>
      <c r="L847">
        <v>1</v>
      </c>
    </row>
    <row r="848" spans="1:12" x14ac:dyDescent="0.3">
      <c r="A848">
        <v>39</v>
      </c>
      <c r="B848" t="s">
        <v>12</v>
      </c>
      <c r="C848" t="s">
        <v>21</v>
      </c>
      <c r="D848">
        <v>118</v>
      </c>
      <c r="E848">
        <v>219</v>
      </c>
      <c r="F848">
        <v>0</v>
      </c>
      <c r="G848" t="s">
        <v>14</v>
      </c>
      <c r="H848">
        <v>140</v>
      </c>
      <c r="I848" t="s">
        <v>15</v>
      </c>
      <c r="J848">
        <v>1.2</v>
      </c>
      <c r="K848" t="s">
        <v>19</v>
      </c>
      <c r="L848">
        <v>1</v>
      </c>
    </row>
    <row r="849" spans="1:12" x14ac:dyDescent="0.3">
      <c r="A849">
        <v>45</v>
      </c>
      <c r="B849" t="s">
        <v>12</v>
      </c>
      <c r="C849" t="s">
        <v>21</v>
      </c>
      <c r="D849">
        <v>115</v>
      </c>
      <c r="E849">
        <v>260</v>
      </c>
      <c r="F849">
        <v>0</v>
      </c>
      <c r="G849" t="s">
        <v>24</v>
      </c>
      <c r="H849">
        <v>185</v>
      </c>
      <c r="I849" t="s">
        <v>15</v>
      </c>
      <c r="J849">
        <v>0</v>
      </c>
      <c r="K849" t="s">
        <v>16</v>
      </c>
      <c r="L849">
        <v>0</v>
      </c>
    </row>
    <row r="850" spans="1:12" x14ac:dyDescent="0.3">
      <c r="A850">
        <v>52</v>
      </c>
      <c r="B850" t="s">
        <v>12</v>
      </c>
      <c r="C850" t="s">
        <v>21</v>
      </c>
      <c r="D850">
        <v>128</v>
      </c>
      <c r="E850">
        <v>255</v>
      </c>
      <c r="F850">
        <v>0</v>
      </c>
      <c r="G850" t="s">
        <v>14</v>
      </c>
      <c r="H850">
        <v>161</v>
      </c>
      <c r="I850" t="s">
        <v>22</v>
      </c>
      <c r="J850">
        <v>0</v>
      </c>
      <c r="K850" t="s">
        <v>16</v>
      </c>
      <c r="L850">
        <v>1</v>
      </c>
    </row>
    <row r="851" spans="1:12" x14ac:dyDescent="0.3">
      <c r="A851">
        <v>62</v>
      </c>
      <c r="B851" t="s">
        <v>12</v>
      </c>
      <c r="C851" t="s">
        <v>18</v>
      </c>
      <c r="D851">
        <v>130</v>
      </c>
      <c r="E851">
        <v>231</v>
      </c>
      <c r="F851">
        <v>0</v>
      </c>
      <c r="G851" t="s">
        <v>14</v>
      </c>
      <c r="H851">
        <v>146</v>
      </c>
      <c r="I851" t="s">
        <v>15</v>
      </c>
      <c r="J851">
        <v>1.8</v>
      </c>
      <c r="K851" t="s">
        <v>19</v>
      </c>
      <c r="L851">
        <v>0</v>
      </c>
    </row>
    <row r="852" spans="1:12" x14ac:dyDescent="0.3">
      <c r="A852">
        <v>62</v>
      </c>
      <c r="B852" t="s">
        <v>17</v>
      </c>
      <c r="C852" t="s">
        <v>21</v>
      </c>
      <c r="D852">
        <v>160</v>
      </c>
      <c r="E852">
        <v>164</v>
      </c>
      <c r="F852">
        <v>0</v>
      </c>
      <c r="G852" t="s">
        <v>24</v>
      </c>
      <c r="H852">
        <v>145</v>
      </c>
      <c r="I852" t="s">
        <v>15</v>
      </c>
      <c r="J852">
        <v>6.2</v>
      </c>
      <c r="K852" t="s">
        <v>25</v>
      </c>
      <c r="L852">
        <v>1</v>
      </c>
    </row>
    <row r="853" spans="1:12" x14ac:dyDescent="0.3">
      <c r="A853">
        <v>53</v>
      </c>
      <c r="B853" t="s">
        <v>17</v>
      </c>
      <c r="C853" t="s">
        <v>21</v>
      </c>
      <c r="D853">
        <v>138</v>
      </c>
      <c r="E853">
        <v>234</v>
      </c>
      <c r="F853">
        <v>0</v>
      </c>
      <c r="G853" t="s">
        <v>24</v>
      </c>
      <c r="H853">
        <v>160</v>
      </c>
      <c r="I853" t="s">
        <v>15</v>
      </c>
      <c r="J853">
        <v>0</v>
      </c>
      <c r="K853" t="s">
        <v>16</v>
      </c>
      <c r="L853">
        <v>0</v>
      </c>
    </row>
    <row r="854" spans="1:12" x14ac:dyDescent="0.3">
      <c r="A854">
        <v>43</v>
      </c>
      <c r="B854" t="s">
        <v>12</v>
      </c>
      <c r="C854" t="s">
        <v>21</v>
      </c>
      <c r="D854">
        <v>120</v>
      </c>
      <c r="E854">
        <v>177</v>
      </c>
      <c r="F854">
        <v>0</v>
      </c>
      <c r="G854" t="s">
        <v>24</v>
      </c>
      <c r="H854">
        <v>120</v>
      </c>
      <c r="I854" t="s">
        <v>22</v>
      </c>
      <c r="J854">
        <v>2.5</v>
      </c>
      <c r="K854" t="s">
        <v>19</v>
      </c>
      <c r="L854">
        <v>1</v>
      </c>
    </row>
    <row r="855" spans="1:12" x14ac:dyDescent="0.3">
      <c r="A855">
        <v>47</v>
      </c>
      <c r="B855" t="s">
        <v>12</v>
      </c>
      <c r="C855" t="s">
        <v>18</v>
      </c>
      <c r="D855">
        <v>138</v>
      </c>
      <c r="E855">
        <v>257</v>
      </c>
      <c r="F855">
        <v>0</v>
      </c>
      <c r="G855" t="s">
        <v>24</v>
      </c>
      <c r="H855">
        <v>156</v>
      </c>
      <c r="I855" t="s">
        <v>15</v>
      </c>
      <c r="J855">
        <v>0</v>
      </c>
      <c r="K855" t="s">
        <v>16</v>
      </c>
      <c r="L855">
        <v>0</v>
      </c>
    </row>
    <row r="856" spans="1:12" x14ac:dyDescent="0.3">
      <c r="A856">
        <v>52</v>
      </c>
      <c r="B856" t="s">
        <v>12</v>
      </c>
      <c r="C856" t="s">
        <v>13</v>
      </c>
      <c r="D856">
        <v>120</v>
      </c>
      <c r="E856">
        <v>325</v>
      </c>
      <c r="F856">
        <v>0</v>
      </c>
      <c r="G856" t="s">
        <v>14</v>
      </c>
      <c r="H856">
        <v>172</v>
      </c>
      <c r="I856" t="s">
        <v>15</v>
      </c>
      <c r="J856">
        <v>0.2</v>
      </c>
      <c r="K856" t="s">
        <v>16</v>
      </c>
      <c r="L856">
        <v>0</v>
      </c>
    </row>
    <row r="857" spans="1:12" x14ac:dyDescent="0.3">
      <c r="A857">
        <v>68</v>
      </c>
      <c r="B857" t="s">
        <v>12</v>
      </c>
      <c r="C857" t="s">
        <v>18</v>
      </c>
      <c r="D857">
        <v>180</v>
      </c>
      <c r="E857">
        <v>274</v>
      </c>
      <c r="F857">
        <v>1</v>
      </c>
      <c r="G857" t="s">
        <v>24</v>
      </c>
      <c r="H857">
        <v>150</v>
      </c>
      <c r="I857" t="s">
        <v>22</v>
      </c>
      <c r="J857">
        <v>1.6</v>
      </c>
      <c r="K857" t="s">
        <v>19</v>
      </c>
      <c r="L857">
        <v>1</v>
      </c>
    </row>
    <row r="858" spans="1:12" x14ac:dyDescent="0.3">
      <c r="A858">
        <v>39</v>
      </c>
      <c r="B858" t="s">
        <v>12</v>
      </c>
      <c r="C858" t="s">
        <v>18</v>
      </c>
      <c r="D858">
        <v>140</v>
      </c>
      <c r="E858">
        <v>321</v>
      </c>
      <c r="F858">
        <v>0</v>
      </c>
      <c r="G858" t="s">
        <v>24</v>
      </c>
      <c r="H858">
        <v>182</v>
      </c>
      <c r="I858" t="s">
        <v>15</v>
      </c>
      <c r="J858">
        <v>0</v>
      </c>
      <c r="K858" t="s">
        <v>16</v>
      </c>
      <c r="L858">
        <v>0</v>
      </c>
    </row>
    <row r="859" spans="1:12" x14ac:dyDescent="0.3">
      <c r="A859">
        <v>53</v>
      </c>
      <c r="B859" t="s">
        <v>17</v>
      </c>
      <c r="C859" t="s">
        <v>21</v>
      </c>
      <c r="D859">
        <v>130</v>
      </c>
      <c r="E859">
        <v>264</v>
      </c>
      <c r="F859">
        <v>0</v>
      </c>
      <c r="G859" t="s">
        <v>24</v>
      </c>
      <c r="H859">
        <v>143</v>
      </c>
      <c r="I859" t="s">
        <v>15</v>
      </c>
      <c r="J859">
        <v>0.4</v>
      </c>
      <c r="K859" t="s">
        <v>19</v>
      </c>
      <c r="L859">
        <v>0</v>
      </c>
    </row>
    <row r="860" spans="1:12" x14ac:dyDescent="0.3">
      <c r="A860">
        <v>62</v>
      </c>
      <c r="B860" t="s">
        <v>17</v>
      </c>
      <c r="C860" t="s">
        <v>21</v>
      </c>
      <c r="D860">
        <v>140</v>
      </c>
      <c r="E860">
        <v>268</v>
      </c>
      <c r="F860">
        <v>0</v>
      </c>
      <c r="G860" t="s">
        <v>24</v>
      </c>
      <c r="H860">
        <v>160</v>
      </c>
      <c r="I860" t="s">
        <v>15</v>
      </c>
      <c r="J860">
        <v>3.6</v>
      </c>
      <c r="K860" t="s">
        <v>25</v>
      </c>
      <c r="L860">
        <v>1</v>
      </c>
    </row>
    <row r="861" spans="1:12" x14ac:dyDescent="0.3">
      <c r="A861">
        <v>51</v>
      </c>
      <c r="B861" t="s">
        <v>17</v>
      </c>
      <c r="C861" t="s">
        <v>18</v>
      </c>
      <c r="D861">
        <v>140</v>
      </c>
      <c r="E861">
        <v>308</v>
      </c>
      <c r="F861">
        <v>0</v>
      </c>
      <c r="G861" t="s">
        <v>24</v>
      </c>
      <c r="H861">
        <v>142</v>
      </c>
      <c r="I861" t="s">
        <v>15</v>
      </c>
      <c r="J861">
        <v>1.5</v>
      </c>
      <c r="K861" t="s">
        <v>16</v>
      </c>
      <c r="L861">
        <v>0</v>
      </c>
    </row>
    <row r="862" spans="1:12" x14ac:dyDescent="0.3">
      <c r="A862">
        <v>60</v>
      </c>
      <c r="B862" t="s">
        <v>12</v>
      </c>
      <c r="C862" t="s">
        <v>21</v>
      </c>
      <c r="D862">
        <v>130</v>
      </c>
      <c r="E862">
        <v>253</v>
      </c>
      <c r="F862">
        <v>0</v>
      </c>
      <c r="G862" t="s">
        <v>14</v>
      </c>
      <c r="H862">
        <v>144</v>
      </c>
      <c r="I862" t="s">
        <v>22</v>
      </c>
      <c r="J862">
        <v>1.4</v>
      </c>
      <c r="K862" t="s">
        <v>16</v>
      </c>
      <c r="L862">
        <v>1</v>
      </c>
    </row>
    <row r="863" spans="1:12" x14ac:dyDescent="0.3">
      <c r="A863">
        <v>65</v>
      </c>
      <c r="B863" t="s">
        <v>12</v>
      </c>
      <c r="C863" t="s">
        <v>21</v>
      </c>
      <c r="D863">
        <v>110</v>
      </c>
      <c r="E863">
        <v>248</v>
      </c>
      <c r="F863">
        <v>0</v>
      </c>
      <c r="G863" t="s">
        <v>24</v>
      </c>
      <c r="H863">
        <v>158</v>
      </c>
      <c r="I863" t="s">
        <v>15</v>
      </c>
      <c r="J863">
        <v>0.6</v>
      </c>
      <c r="K863" t="s">
        <v>16</v>
      </c>
      <c r="L863">
        <v>1</v>
      </c>
    </row>
    <row r="864" spans="1:12" x14ac:dyDescent="0.3">
      <c r="A864">
        <v>65</v>
      </c>
      <c r="B864" t="s">
        <v>17</v>
      </c>
      <c r="C864" t="s">
        <v>18</v>
      </c>
      <c r="D864">
        <v>155</v>
      </c>
      <c r="E864">
        <v>269</v>
      </c>
      <c r="F864">
        <v>0</v>
      </c>
      <c r="G864" t="s">
        <v>14</v>
      </c>
      <c r="H864">
        <v>148</v>
      </c>
      <c r="I864" t="s">
        <v>15</v>
      </c>
      <c r="J864">
        <v>0.8</v>
      </c>
      <c r="K864" t="s">
        <v>16</v>
      </c>
      <c r="L864">
        <v>0</v>
      </c>
    </row>
    <row r="865" spans="1:12" x14ac:dyDescent="0.3">
      <c r="A865">
        <v>60</v>
      </c>
      <c r="B865" t="s">
        <v>12</v>
      </c>
      <c r="C865" t="s">
        <v>18</v>
      </c>
      <c r="D865">
        <v>140</v>
      </c>
      <c r="E865">
        <v>185</v>
      </c>
      <c r="F865">
        <v>0</v>
      </c>
      <c r="G865" t="s">
        <v>24</v>
      </c>
      <c r="H865">
        <v>155</v>
      </c>
      <c r="I865" t="s">
        <v>15</v>
      </c>
      <c r="J865">
        <v>3</v>
      </c>
      <c r="K865" t="s">
        <v>19</v>
      </c>
      <c r="L865">
        <v>1</v>
      </c>
    </row>
    <row r="866" spans="1:12" x14ac:dyDescent="0.3">
      <c r="A866">
        <v>60</v>
      </c>
      <c r="B866" t="s">
        <v>12</v>
      </c>
      <c r="C866" t="s">
        <v>21</v>
      </c>
      <c r="D866">
        <v>145</v>
      </c>
      <c r="E866">
        <v>282</v>
      </c>
      <c r="F866">
        <v>0</v>
      </c>
      <c r="G866" t="s">
        <v>24</v>
      </c>
      <c r="H866">
        <v>142</v>
      </c>
      <c r="I866" t="s">
        <v>22</v>
      </c>
      <c r="J866">
        <v>2.8</v>
      </c>
      <c r="K866" t="s">
        <v>19</v>
      </c>
      <c r="L866">
        <v>1</v>
      </c>
    </row>
    <row r="867" spans="1:12" x14ac:dyDescent="0.3">
      <c r="A867">
        <v>54</v>
      </c>
      <c r="B867" t="s">
        <v>12</v>
      </c>
      <c r="C867" t="s">
        <v>21</v>
      </c>
      <c r="D867">
        <v>120</v>
      </c>
      <c r="E867">
        <v>188</v>
      </c>
      <c r="F867">
        <v>0</v>
      </c>
      <c r="G867" t="s">
        <v>14</v>
      </c>
      <c r="H867">
        <v>113</v>
      </c>
      <c r="I867" t="s">
        <v>15</v>
      </c>
      <c r="J867">
        <v>1.4</v>
      </c>
      <c r="K867" t="s">
        <v>19</v>
      </c>
      <c r="L867">
        <v>1</v>
      </c>
    </row>
    <row r="868" spans="1:12" x14ac:dyDescent="0.3">
      <c r="A868">
        <v>44</v>
      </c>
      <c r="B868" t="s">
        <v>12</v>
      </c>
      <c r="C868" t="s">
        <v>13</v>
      </c>
      <c r="D868">
        <v>130</v>
      </c>
      <c r="E868">
        <v>219</v>
      </c>
      <c r="F868">
        <v>0</v>
      </c>
      <c r="G868" t="s">
        <v>24</v>
      </c>
      <c r="H868">
        <v>188</v>
      </c>
      <c r="I868" t="s">
        <v>15</v>
      </c>
      <c r="J868">
        <v>0</v>
      </c>
      <c r="K868" t="s">
        <v>16</v>
      </c>
      <c r="L868">
        <v>0</v>
      </c>
    </row>
    <row r="869" spans="1:12" x14ac:dyDescent="0.3">
      <c r="A869">
        <v>44</v>
      </c>
      <c r="B869" t="s">
        <v>12</v>
      </c>
      <c r="C869" t="s">
        <v>21</v>
      </c>
      <c r="D869">
        <v>112</v>
      </c>
      <c r="E869">
        <v>290</v>
      </c>
      <c r="F869">
        <v>0</v>
      </c>
      <c r="G869" t="s">
        <v>24</v>
      </c>
      <c r="H869">
        <v>153</v>
      </c>
      <c r="I869" t="s">
        <v>15</v>
      </c>
      <c r="J869">
        <v>0</v>
      </c>
      <c r="K869" t="s">
        <v>16</v>
      </c>
      <c r="L869">
        <v>1</v>
      </c>
    </row>
    <row r="870" spans="1:12" x14ac:dyDescent="0.3">
      <c r="A870">
        <v>51</v>
      </c>
      <c r="B870" t="s">
        <v>12</v>
      </c>
      <c r="C870" t="s">
        <v>18</v>
      </c>
      <c r="D870">
        <v>110</v>
      </c>
      <c r="E870">
        <v>175</v>
      </c>
      <c r="F870">
        <v>0</v>
      </c>
      <c r="G870" t="s">
        <v>14</v>
      </c>
      <c r="H870">
        <v>123</v>
      </c>
      <c r="I870" t="s">
        <v>15</v>
      </c>
      <c r="J870">
        <v>0.6</v>
      </c>
      <c r="K870" t="s">
        <v>16</v>
      </c>
      <c r="L870">
        <v>0</v>
      </c>
    </row>
    <row r="871" spans="1:12" x14ac:dyDescent="0.3">
      <c r="A871">
        <v>59</v>
      </c>
      <c r="B871" t="s">
        <v>12</v>
      </c>
      <c r="C871" t="s">
        <v>18</v>
      </c>
      <c r="D871">
        <v>150</v>
      </c>
      <c r="E871">
        <v>212</v>
      </c>
      <c r="F871">
        <v>1</v>
      </c>
      <c r="G871" t="s">
        <v>14</v>
      </c>
      <c r="H871">
        <v>157</v>
      </c>
      <c r="I871" t="s">
        <v>15</v>
      </c>
      <c r="J871">
        <v>1.6</v>
      </c>
      <c r="K871" t="s">
        <v>16</v>
      </c>
      <c r="L871">
        <v>0</v>
      </c>
    </row>
    <row r="872" spans="1:12" x14ac:dyDescent="0.3">
      <c r="A872">
        <v>71</v>
      </c>
      <c r="B872" t="s">
        <v>17</v>
      </c>
      <c r="C872" t="s">
        <v>13</v>
      </c>
      <c r="D872">
        <v>160</v>
      </c>
      <c r="E872">
        <v>302</v>
      </c>
      <c r="F872">
        <v>0</v>
      </c>
      <c r="G872" t="s">
        <v>14</v>
      </c>
      <c r="H872">
        <v>162</v>
      </c>
      <c r="I872" t="s">
        <v>15</v>
      </c>
      <c r="J872">
        <v>0.4</v>
      </c>
      <c r="K872" t="s">
        <v>16</v>
      </c>
      <c r="L872">
        <v>0</v>
      </c>
    </row>
    <row r="873" spans="1:12" x14ac:dyDescent="0.3">
      <c r="A873">
        <v>61</v>
      </c>
      <c r="B873" t="s">
        <v>12</v>
      </c>
      <c r="C873" t="s">
        <v>18</v>
      </c>
      <c r="D873">
        <v>150</v>
      </c>
      <c r="E873">
        <v>243</v>
      </c>
      <c r="F873">
        <v>1</v>
      </c>
      <c r="G873" t="s">
        <v>14</v>
      </c>
      <c r="H873">
        <v>137</v>
      </c>
      <c r="I873" t="s">
        <v>22</v>
      </c>
      <c r="J873">
        <v>1</v>
      </c>
      <c r="K873" t="s">
        <v>19</v>
      </c>
      <c r="L873">
        <v>0</v>
      </c>
    </row>
    <row r="874" spans="1:12" x14ac:dyDescent="0.3">
      <c r="A874">
        <v>55</v>
      </c>
      <c r="B874" t="s">
        <v>12</v>
      </c>
      <c r="C874" t="s">
        <v>21</v>
      </c>
      <c r="D874">
        <v>132</v>
      </c>
      <c r="E874">
        <v>353</v>
      </c>
      <c r="F874">
        <v>0</v>
      </c>
      <c r="G874" t="s">
        <v>14</v>
      </c>
      <c r="H874">
        <v>132</v>
      </c>
      <c r="I874" t="s">
        <v>22</v>
      </c>
      <c r="J874">
        <v>1.2</v>
      </c>
      <c r="K874" t="s">
        <v>19</v>
      </c>
      <c r="L874">
        <v>1</v>
      </c>
    </row>
    <row r="875" spans="1:12" x14ac:dyDescent="0.3">
      <c r="A875">
        <v>64</v>
      </c>
      <c r="B875" t="s">
        <v>12</v>
      </c>
      <c r="C875" t="s">
        <v>18</v>
      </c>
      <c r="D875">
        <v>140</v>
      </c>
      <c r="E875">
        <v>335</v>
      </c>
      <c r="F875">
        <v>0</v>
      </c>
      <c r="G875" t="s">
        <v>14</v>
      </c>
      <c r="H875">
        <v>158</v>
      </c>
      <c r="I875" t="s">
        <v>15</v>
      </c>
      <c r="J875">
        <v>0</v>
      </c>
      <c r="K875" t="s">
        <v>16</v>
      </c>
      <c r="L875">
        <v>1</v>
      </c>
    </row>
    <row r="876" spans="1:12" x14ac:dyDescent="0.3">
      <c r="A876">
        <v>43</v>
      </c>
      <c r="B876" t="s">
        <v>12</v>
      </c>
      <c r="C876" t="s">
        <v>21</v>
      </c>
      <c r="D876">
        <v>150</v>
      </c>
      <c r="E876">
        <v>247</v>
      </c>
      <c r="F876">
        <v>0</v>
      </c>
      <c r="G876" t="s">
        <v>14</v>
      </c>
      <c r="H876">
        <v>171</v>
      </c>
      <c r="I876" t="s">
        <v>15</v>
      </c>
      <c r="J876">
        <v>1.5</v>
      </c>
      <c r="K876" t="s">
        <v>16</v>
      </c>
      <c r="L876">
        <v>0</v>
      </c>
    </row>
    <row r="877" spans="1:12" x14ac:dyDescent="0.3">
      <c r="A877">
        <v>58</v>
      </c>
      <c r="B877" t="s">
        <v>17</v>
      </c>
      <c r="C877" t="s">
        <v>18</v>
      </c>
      <c r="D877">
        <v>120</v>
      </c>
      <c r="E877">
        <v>340</v>
      </c>
      <c r="F877">
        <v>0</v>
      </c>
      <c r="G877" t="s">
        <v>14</v>
      </c>
      <c r="H877">
        <v>172</v>
      </c>
      <c r="I877" t="s">
        <v>15</v>
      </c>
      <c r="J877">
        <v>0</v>
      </c>
      <c r="K877" t="s">
        <v>16</v>
      </c>
      <c r="L877">
        <v>0</v>
      </c>
    </row>
    <row r="878" spans="1:12" x14ac:dyDescent="0.3">
      <c r="A878">
        <v>60</v>
      </c>
      <c r="B878" t="s">
        <v>12</v>
      </c>
      <c r="C878" t="s">
        <v>21</v>
      </c>
      <c r="D878">
        <v>130</v>
      </c>
      <c r="E878">
        <v>206</v>
      </c>
      <c r="F878">
        <v>0</v>
      </c>
      <c r="G878" t="s">
        <v>24</v>
      </c>
      <c r="H878">
        <v>132</v>
      </c>
      <c r="I878" t="s">
        <v>22</v>
      </c>
      <c r="J878">
        <v>2.4</v>
      </c>
      <c r="K878" t="s">
        <v>19</v>
      </c>
      <c r="L878">
        <v>1</v>
      </c>
    </row>
    <row r="879" spans="1:12" x14ac:dyDescent="0.3">
      <c r="A879">
        <v>58</v>
      </c>
      <c r="B879" t="s">
        <v>12</v>
      </c>
      <c r="C879" t="s">
        <v>13</v>
      </c>
      <c r="D879">
        <v>120</v>
      </c>
      <c r="E879">
        <v>284</v>
      </c>
      <c r="F879">
        <v>0</v>
      </c>
      <c r="G879" t="s">
        <v>24</v>
      </c>
      <c r="H879">
        <v>160</v>
      </c>
      <c r="I879" t="s">
        <v>15</v>
      </c>
      <c r="J879">
        <v>1.8</v>
      </c>
      <c r="K879" t="s">
        <v>19</v>
      </c>
      <c r="L879">
        <v>1</v>
      </c>
    </row>
    <row r="880" spans="1:12" x14ac:dyDescent="0.3">
      <c r="A880">
        <v>49</v>
      </c>
      <c r="B880" t="s">
        <v>12</v>
      </c>
      <c r="C880" t="s">
        <v>13</v>
      </c>
      <c r="D880">
        <v>130</v>
      </c>
      <c r="E880">
        <v>266</v>
      </c>
      <c r="F880">
        <v>0</v>
      </c>
      <c r="G880" t="s">
        <v>14</v>
      </c>
      <c r="H880">
        <v>171</v>
      </c>
      <c r="I880" t="s">
        <v>15</v>
      </c>
      <c r="J880">
        <v>0.6</v>
      </c>
      <c r="K880" t="s">
        <v>16</v>
      </c>
      <c r="L880">
        <v>0</v>
      </c>
    </row>
    <row r="881" spans="1:12" x14ac:dyDescent="0.3">
      <c r="A881">
        <v>48</v>
      </c>
      <c r="B881" t="s">
        <v>12</v>
      </c>
      <c r="C881" t="s">
        <v>13</v>
      </c>
      <c r="D881">
        <v>110</v>
      </c>
      <c r="E881">
        <v>229</v>
      </c>
      <c r="F881">
        <v>0</v>
      </c>
      <c r="G881" t="s">
        <v>14</v>
      </c>
      <c r="H881">
        <v>168</v>
      </c>
      <c r="I881" t="s">
        <v>15</v>
      </c>
      <c r="J881">
        <v>1</v>
      </c>
      <c r="K881" t="s">
        <v>25</v>
      </c>
      <c r="L881">
        <v>1</v>
      </c>
    </row>
    <row r="882" spans="1:12" x14ac:dyDescent="0.3">
      <c r="A882">
        <v>52</v>
      </c>
      <c r="B882" t="s">
        <v>12</v>
      </c>
      <c r="C882" t="s">
        <v>18</v>
      </c>
      <c r="D882">
        <v>172</v>
      </c>
      <c r="E882">
        <v>199</v>
      </c>
      <c r="F882">
        <v>1</v>
      </c>
      <c r="G882" t="s">
        <v>14</v>
      </c>
      <c r="H882">
        <v>162</v>
      </c>
      <c r="I882" t="s">
        <v>15</v>
      </c>
      <c r="J882">
        <v>0.5</v>
      </c>
      <c r="K882" t="s">
        <v>16</v>
      </c>
      <c r="L882">
        <v>0</v>
      </c>
    </row>
    <row r="883" spans="1:12" x14ac:dyDescent="0.3">
      <c r="A883">
        <v>44</v>
      </c>
      <c r="B883" t="s">
        <v>12</v>
      </c>
      <c r="C883" t="s">
        <v>13</v>
      </c>
      <c r="D883">
        <v>120</v>
      </c>
      <c r="E883">
        <v>263</v>
      </c>
      <c r="F883">
        <v>0</v>
      </c>
      <c r="G883" t="s">
        <v>14</v>
      </c>
      <c r="H883">
        <v>173</v>
      </c>
      <c r="I883" t="s">
        <v>15</v>
      </c>
      <c r="J883">
        <v>0</v>
      </c>
      <c r="K883" t="s">
        <v>16</v>
      </c>
      <c r="L883">
        <v>0</v>
      </c>
    </row>
    <row r="884" spans="1:12" x14ac:dyDescent="0.3">
      <c r="A884">
        <v>56</v>
      </c>
      <c r="B884" t="s">
        <v>17</v>
      </c>
      <c r="C884" t="s">
        <v>13</v>
      </c>
      <c r="D884">
        <v>140</v>
      </c>
      <c r="E884">
        <v>294</v>
      </c>
      <c r="F884">
        <v>0</v>
      </c>
      <c r="G884" t="s">
        <v>24</v>
      </c>
      <c r="H884">
        <v>153</v>
      </c>
      <c r="I884" t="s">
        <v>15</v>
      </c>
      <c r="J884">
        <v>1.3</v>
      </c>
      <c r="K884" t="s">
        <v>19</v>
      </c>
      <c r="L884">
        <v>0</v>
      </c>
    </row>
    <row r="885" spans="1:12" x14ac:dyDescent="0.3">
      <c r="A885">
        <v>57</v>
      </c>
      <c r="B885" t="s">
        <v>12</v>
      </c>
      <c r="C885" t="s">
        <v>21</v>
      </c>
      <c r="D885">
        <v>140</v>
      </c>
      <c r="E885">
        <v>192</v>
      </c>
      <c r="F885">
        <v>0</v>
      </c>
      <c r="G885" t="s">
        <v>14</v>
      </c>
      <c r="H885">
        <v>148</v>
      </c>
      <c r="I885" t="s">
        <v>15</v>
      </c>
      <c r="J885">
        <v>0.4</v>
      </c>
      <c r="K885" t="s">
        <v>19</v>
      </c>
      <c r="L885">
        <v>0</v>
      </c>
    </row>
    <row r="886" spans="1:12" x14ac:dyDescent="0.3">
      <c r="A886">
        <v>67</v>
      </c>
      <c r="B886" t="s">
        <v>12</v>
      </c>
      <c r="C886" t="s">
        <v>21</v>
      </c>
      <c r="D886">
        <v>160</v>
      </c>
      <c r="E886">
        <v>286</v>
      </c>
      <c r="F886">
        <v>0</v>
      </c>
      <c r="G886" t="s">
        <v>24</v>
      </c>
      <c r="H886">
        <v>108</v>
      </c>
      <c r="I886" t="s">
        <v>22</v>
      </c>
      <c r="J886">
        <v>1.5</v>
      </c>
      <c r="K886" t="s">
        <v>19</v>
      </c>
      <c r="L886">
        <v>1</v>
      </c>
    </row>
    <row r="887" spans="1:12" x14ac:dyDescent="0.3">
      <c r="A887">
        <v>53</v>
      </c>
      <c r="B887" t="s">
        <v>17</v>
      </c>
      <c r="C887" t="s">
        <v>18</v>
      </c>
      <c r="D887">
        <v>128</v>
      </c>
      <c r="E887">
        <v>216</v>
      </c>
      <c r="F887">
        <v>0</v>
      </c>
      <c r="G887" t="s">
        <v>24</v>
      </c>
      <c r="H887">
        <v>115</v>
      </c>
      <c r="I887" t="s">
        <v>15</v>
      </c>
      <c r="J887">
        <v>0</v>
      </c>
      <c r="K887" t="s">
        <v>16</v>
      </c>
      <c r="L887">
        <v>0</v>
      </c>
    </row>
    <row r="888" spans="1:12" x14ac:dyDescent="0.3">
      <c r="A888">
        <v>52</v>
      </c>
      <c r="B888" t="s">
        <v>12</v>
      </c>
      <c r="C888" t="s">
        <v>18</v>
      </c>
      <c r="D888">
        <v>138</v>
      </c>
      <c r="E888">
        <v>223</v>
      </c>
      <c r="F888">
        <v>0</v>
      </c>
      <c r="G888" t="s">
        <v>14</v>
      </c>
      <c r="H888">
        <v>169</v>
      </c>
      <c r="I888" t="s">
        <v>15</v>
      </c>
      <c r="J888">
        <v>0</v>
      </c>
      <c r="K888" t="s">
        <v>16</v>
      </c>
      <c r="L888">
        <v>0</v>
      </c>
    </row>
    <row r="889" spans="1:12" x14ac:dyDescent="0.3">
      <c r="A889">
        <v>43</v>
      </c>
      <c r="B889" t="s">
        <v>12</v>
      </c>
      <c r="C889" t="s">
        <v>21</v>
      </c>
      <c r="D889">
        <v>132</v>
      </c>
      <c r="E889">
        <v>247</v>
      </c>
      <c r="F889">
        <v>1</v>
      </c>
      <c r="G889" t="s">
        <v>24</v>
      </c>
      <c r="H889">
        <v>143</v>
      </c>
      <c r="I889" t="s">
        <v>22</v>
      </c>
      <c r="J889">
        <v>0.1</v>
      </c>
      <c r="K889" t="s">
        <v>19</v>
      </c>
      <c r="L889">
        <v>1</v>
      </c>
    </row>
    <row r="890" spans="1:12" x14ac:dyDescent="0.3">
      <c r="A890">
        <v>52</v>
      </c>
      <c r="B890" t="s">
        <v>12</v>
      </c>
      <c r="C890" t="s">
        <v>21</v>
      </c>
      <c r="D890">
        <v>128</v>
      </c>
      <c r="E890">
        <v>204</v>
      </c>
      <c r="F890">
        <v>1</v>
      </c>
      <c r="G890" t="s">
        <v>14</v>
      </c>
      <c r="H890">
        <v>156</v>
      </c>
      <c r="I890" t="s">
        <v>22</v>
      </c>
      <c r="J890">
        <v>1</v>
      </c>
      <c r="K890" t="s">
        <v>19</v>
      </c>
      <c r="L890">
        <v>1</v>
      </c>
    </row>
    <row r="891" spans="1:12" x14ac:dyDescent="0.3">
      <c r="A891">
        <v>59</v>
      </c>
      <c r="B891" t="s">
        <v>12</v>
      </c>
      <c r="C891" t="s">
        <v>23</v>
      </c>
      <c r="D891">
        <v>134</v>
      </c>
      <c r="E891">
        <v>204</v>
      </c>
      <c r="F891">
        <v>0</v>
      </c>
      <c r="G891" t="s">
        <v>14</v>
      </c>
      <c r="H891">
        <v>162</v>
      </c>
      <c r="I891" t="s">
        <v>15</v>
      </c>
      <c r="J891">
        <v>0.8</v>
      </c>
      <c r="K891" t="s">
        <v>16</v>
      </c>
      <c r="L891">
        <v>1</v>
      </c>
    </row>
    <row r="892" spans="1:12" x14ac:dyDescent="0.3">
      <c r="A892">
        <v>64</v>
      </c>
      <c r="B892" t="s">
        <v>12</v>
      </c>
      <c r="C892" t="s">
        <v>23</v>
      </c>
      <c r="D892">
        <v>170</v>
      </c>
      <c r="E892">
        <v>227</v>
      </c>
      <c r="F892">
        <v>0</v>
      </c>
      <c r="G892" t="s">
        <v>24</v>
      </c>
      <c r="H892">
        <v>155</v>
      </c>
      <c r="I892" t="s">
        <v>15</v>
      </c>
      <c r="J892">
        <v>0.6</v>
      </c>
      <c r="K892" t="s">
        <v>19</v>
      </c>
      <c r="L892">
        <v>0</v>
      </c>
    </row>
    <row r="893" spans="1:12" x14ac:dyDescent="0.3">
      <c r="A893">
        <v>66</v>
      </c>
      <c r="B893" t="s">
        <v>17</v>
      </c>
      <c r="C893" t="s">
        <v>18</v>
      </c>
      <c r="D893">
        <v>146</v>
      </c>
      <c r="E893">
        <v>278</v>
      </c>
      <c r="F893">
        <v>0</v>
      </c>
      <c r="G893" t="s">
        <v>24</v>
      </c>
      <c r="H893">
        <v>152</v>
      </c>
      <c r="I893" t="s">
        <v>15</v>
      </c>
      <c r="J893">
        <v>0</v>
      </c>
      <c r="K893" t="s">
        <v>19</v>
      </c>
      <c r="L893">
        <v>0</v>
      </c>
    </row>
    <row r="894" spans="1:12" x14ac:dyDescent="0.3">
      <c r="A894">
        <v>39</v>
      </c>
      <c r="B894" t="s">
        <v>17</v>
      </c>
      <c r="C894" t="s">
        <v>18</v>
      </c>
      <c r="D894">
        <v>138</v>
      </c>
      <c r="E894">
        <v>220</v>
      </c>
      <c r="F894">
        <v>0</v>
      </c>
      <c r="G894" t="s">
        <v>14</v>
      </c>
      <c r="H894">
        <v>152</v>
      </c>
      <c r="I894" t="s">
        <v>15</v>
      </c>
      <c r="J894">
        <v>0</v>
      </c>
      <c r="K894" t="s">
        <v>19</v>
      </c>
      <c r="L894">
        <v>0</v>
      </c>
    </row>
    <row r="895" spans="1:12" x14ac:dyDescent="0.3">
      <c r="A895">
        <v>57</v>
      </c>
      <c r="B895" t="s">
        <v>12</v>
      </c>
      <c r="C895" t="s">
        <v>13</v>
      </c>
      <c r="D895">
        <v>154</v>
      </c>
      <c r="E895">
        <v>232</v>
      </c>
      <c r="F895">
        <v>0</v>
      </c>
      <c r="G895" t="s">
        <v>24</v>
      </c>
      <c r="H895">
        <v>164</v>
      </c>
      <c r="I895" t="s">
        <v>15</v>
      </c>
      <c r="J895">
        <v>0</v>
      </c>
      <c r="K895" t="s">
        <v>16</v>
      </c>
      <c r="L895">
        <v>1</v>
      </c>
    </row>
    <row r="896" spans="1:12" x14ac:dyDescent="0.3">
      <c r="A896">
        <v>58</v>
      </c>
      <c r="B896" t="s">
        <v>17</v>
      </c>
      <c r="C896" t="s">
        <v>21</v>
      </c>
      <c r="D896">
        <v>130</v>
      </c>
      <c r="E896">
        <v>197</v>
      </c>
      <c r="F896">
        <v>0</v>
      </c>
      <c r="G896" t="s">
        <v>14</v>
      </c>
      <c r="H896">
        <v>131</v>
      </c>
      <c r="I896" t="s">
        <v>15</v>
      </c>
      <c r="J896">
        <v>0.6</v>
      </c>
      <c r="K896" t="s">
        <v>19</v>
      </c>
      <c r="L896">
        <v>0</v>
      </c>
    </row>
    <row r="897" spans="1:12" x14ac:dyDescent="0.3">
      <c r="A897">
        <v>57</v>
      </c>
      <c r="B897" t="s">
        <v>12</v>
      </c>
      <c r="C897" t="s">
        <v>21</v>
      </c>
      <c r="D897">
        <v>110</v>
      </c>
      <c r="E897">
        <v>335</v>
      </c>
      <c r="F897">
        <v>0</v>
      </c>
      <c r="G897" t="s">
        <v>14</v>
      </c>
      <c r="H897">
        <v>143</v>
      </c>
      <c r="I897" t="s">
        <v>22</v>
      </c>
      <c r="J897">
        <v>3</v>
      </c>
      <c r="K897" t="s">
        <v>19</v>
      </c>
      <c r="L897">
        <v>1</v>
      </c>
    </row>
    <row r="898" spans="1:12" x14ac:dyDescent="0.3">
      <c r="A898">
        <v>47</v>
      </c>
      <c r="B898" t="s">
        <v>12</v>
      </c>
      <c r="C898" t="s">
        <v>18</v>
      </c>
      <c r="D898">
        <v>130</v>
      </c>
      <c r="E898">
        <v>253</v>
      </c>
      <c r="F898">
        <v>0</v>
      </c>
      <c r="G898" t="s">
        <v>14</v>
      </c>
      <c r="H898">
        <v>179</v>
      </c>
      <c r="I898" t="s">
        <v>15</v>
      </c>
      <c r="J898">
        <v>0</v>
      </c>
      <c r="K898" t="s">
        <v>16</v>
      </c>
      <c r="L898">
        <v>0</v>
      </c>
    </row>
    <row r="899" spans="1:12" x14ac:dyDescent="0.3">
      <c r="A899">
        <v>55</v>
      </c>
      <c r="B899" t="s">
        <v>17</v>
      </c>
      <c r="C899" t="s">
        <v>21</v>
      </c>
      <c r="D899">
        <v>128</v>
      </c>
      <c r="E899">
        <v>205</v>
      </c>
      <c r="F899">
        <v>0</v>
      </c>
      <c r="G899" t="s">
        <v>20</v>
      </c>
      <c r="H899">
        <v>130</v>
      </c>
      <c r="I899" t="s">
        <v>22</v>
      </c>
      <c r="J899">
        <v>2</v>
      </c>
      <c r="K899" t="s">
        <v>19</v>
      </c>
      <c r="L899">
        <v>1</v>
      </c>
    </row>
    <row r="900" spans="1:12" x14ac:dyDescent="0.3">
      <c r="A900">
        <v>35</v>
      </c>
      <c r="B900" t="s">
        <v>12</v>
      </c>
      <c r="C900" t="s">
        <v>13</v>
      </c>
      <c r="D900">
        <v>122</v>
      </c>
      <c r="E900">
        <v>192</v>
      </c>
      <c r="F900">
        <v>0</v>
      </c>
      <c r="G900" t="s">
        <v>14</v>
      </c>
      <c r="H900">
        <v>174</v>
      </c>
      <c r="I900" t="s">
        <v>15</v>
      </c>
      <c r="J900">
        <v>0</v>
      </c>
      <c r="K900" t="s">
        <v>16</v>
      </c>
      <c r="L900">
        <v>0</v>
      </c>
    </row>
    <row r="901" spans="1:12" x14ac:dyDescent="0.3">
      <c r="A901">
        <v>61</v>
      </c>
      <c r="B901" t="s">
        <v>12</v>
      </c>
      <c r="C901" t="s">
        <v>21</v>
      </c>
      <c r="D901">
        <v>148</v>
      </c>
      <c r="E901">
        <v>203</v>
      </c>
      <c r="F901">
        <v>0</v>
      </c>
      <c r="G901" t="s">
        <v>14</v>
      </c>
      <c r="H901">
        <v>161</v>
      </c>
      <c r="I901" t="s">
        <v>15</v>
      </c>
      <c r="J901">
        <v>0</v>
      </c>
      <c r="K901" t="s">
        <v>16</v>
      </c>
      <c r="L901">
        <v>1</v>
      </c>
    </row>
    <row r="902" spans="1:12" x14ac:dyDescent="0.3">
      <c r="A902">
        <v>58</v>
      </c>
      <c r="B902" t="s">
        <v>12</v>
      </c>
      <c r="C902" t="s">
        <v>21</v>
      </c>
      <c r="D902">
        <v>114</v>
      </c>
      <c r="E902">
        <v>318</v>
      </c>
      <c r="F902">
        <v>0</v>
      </c>
      <c r="G902" t="s">
        <v>20</v>
      </c>
      <c r="H902">
        <v>140</v>
      </c>
      <c r="I902" t="s">
        <v>15</v>
      </c>
      <c r="J902">
        <v>4.4000000000000004</v>
      </c>
      <c r="K902" t="s">
        <v>25</v>
      </c>
      <c r="L902">
        <v>1</v>
      </c>
    </row>
    <row r="903" spans="1:12" x14ac:dyDescent="0.3">
      <c r="A903">
        <v>58</v>
      </c>
      <c r="B903" t="s">
        <v>17</v>
      </c>
      <c r="C903" t="s">
        <v>21</v>
      </c>
      <c r="D903">
        <v>170</v>
      </c>
      <c r="E903">
        <v>225</v>
      </c>
      <c r="F903">
        <v>1</v>
      </c>
      <c r="G903" t="s">
        <v>24</v>
      </c>
      <c r="H903">
        <v>146</v>
      </c>
      <c r="I903" t="s">
        <v>22</v>
      </c>
      <c r="J903">
        <v>2.8</v>
      </c>
      <c r="K903" t="s">
        <v>19</v>
      </c>
      <c r="L903">
        <v>1</v>
      </c>
    </row>
    <row r="904" spans="1:12" x14ac:dyDescent="0.3">
      <c r="A904">
        <v>58</v>
      </c>
      <c r="B904" t="s">
        <v>12</v>
      </c>
      <c r="C904" t="s">
        <v>13</v>
      </c>
      <c r="D904">
        <v>125</v>
      </c>
      <c r="E904">
        <v>220</v>
      </c>
      <c r="F904">
        <v>0</v>
      </c>
      <c r="G904" t="s">
        <v>14</v>
      </c>
      <c r="H904">
        <v>144</v>
      </c>
      <c r="I904" t="s">
        <v>15</v>
      </c>
      <c r="J904">
        <v>0.4</v>
      </c>
      <c r="K904" t="s">
        <v>19</v>
      </c>
      <c r="L904">
        <v>0</v>
      </c>
    </row>
    <row r="905" spans="1:12" x14ac:dyDescent="0.3">
      <c r="A905">
        <v>56</v>
      </c>
      <c r="B905" t="s">
        <v>12</v>
      </c>
      <c r="C905" t="s">
        <v>13</v>
      </c>
      <c r="D905">
        <v>130</v>
      </c>
      <c r="E905">
        <v>221</v>
      </c>
      <c r="F905">
        <v>0</v>
      </c>
      <c r="G905" t="s">
        <v>24</v>
      </c>
      <c r="H905">
        <v>163</v>
      </c>
      <c r="I905" t="s">
        <v>15</v>
      </c>
      <c r="J905">
        <v>0</v>
      </c>
      <c r="K905" t="s">
        <v>16</v>
      </c>
      <c r="L905">
        <v>0</v>
      </c>
    </row>
    <row r="906" spans="1:12" x14ac:dyDescent="0.3">
      <c r="A906">
        <v>56</v>
      </c>
      <c r="B906" t="s">
        <v>12</v>
      </c>
      <c r="C906" t="s">
        <v>13</v>
      </c>
      <c r="D906">
        <v>120</v>
      </c>
      <c r="E906">
        <v>240</v>
      </c>
      <c r="F906">
        <v>0</v>
      </c>
      <c r="G906" t="s">
        <v>14</v>
      </c>
      <c r="H906">
        <v>169</v>
      </c>
      <c r="I906" t="s">
        <v>15</v>
      </c>
      <c r="J906">
        <v>0</v>
      </c>
      <c r="K906" t="s">
        <v>25</v>
      </c>
      <c r="L906">
        <v>0</v>
      </c>
    </row>
    <row r="907" spans="1:12" x14ac:dyDescent="0.3">
      <c r="A907">
        <v>67</v>
      </c>
      <c r="B907" t="s">
        <v>12</v>
      </c>
      <c r="C907" t="s">
        <v>18</v>
      </c>
      <c r="D907">
        <v>152</v>
      </c>
      <c r="E907">
        <v>212</v>
      </c>
      <c r="F907">
        <v>0</v>
      </c>
      <c r="G907" t="s">
        <v>24</v>
      </c>
      <c r="H907">
        <v>150</v>
      </c>
      <c r="I907" t="s">
        <v>15</v>
      </c>
      <c r="J907">
        <v>0.8</v>
      </c>
      <c r="K907" t="s">
        <v>19</v>
      </c>
      <c r="L907">
        <v>1</v>
      </c>
    </row>
    <row r="908" spans="1:12" x14ac:dyDescent="0.3">
      <c r="A908">
        <v>55</v>
      </c>
      <c r="B908" t="s">
        <v>17</v>
      </c>
      <c r="C908" t="s">
        <v>13</v>
      </c>
      <c r="D908">
        <v>132</v>
      </c>
      <c r="E908">
        <v>342</v>
      </c>
      <c r="F908">
        <v>0</v>
      </c>
      <c r="G908" t="s">
        <v>14</v>
      </c>
      <c r="H908">
        <v>166</v>
      </c>
      <c r="I908" t="s">
        <v>15</v>
      </c>
      <c r="J908">
        <v>1.2</v>
      </c>
      <c r="K908" t="s">
        <v>16</v>
      </c>
      <c r="L908">
        <v>0</v>
      </c>
    </row>
    <row r="909" spans="1:12" x14ac:dyDescent="0.3">
      <c r="A909">
        <v>44</v>
      </c>
      <c r="B909" t="s">
        <v>12</v>
      </c>
      <c r="C909" t="s">
        <v>21</v>
      </c>
      <c r="D909">
        <v>120</v>
      </c>
      <c r="E909">
        <v>169</v>
      </c>
      <c r="F909">
        <v>0</v>
      </c>
      <c r="G909" t="s">
        <v>14</v>
      </c>
      <c r="H909">
        <v>144</v>
      </c>
      <c r="I909" t="s">
        <v>22</v>
      </c>
      <c r="J909">
        <v>2.8</v>
      </c>
      <c r="K909" t="s">
        <v>25</v>
      </c>
      <c r="L909">
        <v>1</v>
      </c>
    </row>
    <row r="910" spans="1:12" x14ac:dyDescent="0.3">
      <c r="A910">
        <v>63</v>
      </c>
      <c r="B910" t="s">
        <v>12</v>
      </c>
      <c r="C910" t="s">
        <v>21</v>
      </c>
      <c r="D910">
        <v>140</v>
      </c>
      <c r="E910">
        <v>187</v>
      </c>
      <c r="F910">
        <v>0</v>
      </c>
      <c r="G910" t="s">
        <v>24</v>
      </c>
      <c r="H910">
        <v>144</v>
      </c>
      <c r="I910" t="s">
        <v>22</v>
      </c>
      <c r="J910">
        <v>4</v>
      </c>
      <c r="K910" t="s">
        <v>16</v>
      </c>
      <c r="L910">
        <v>1</v>
      </c>
    </row>
    <row r="911" spans="1:12" x14ac:dyDescent="0.3">
      <c r="A911">
        <v>63</v>
      </c>
      <c r="B911" t="s">
        <v>17</v>
      </c>
      <c r="C911" t="s">
        <v>21</v>
      </c>
      <c r="D911">
        <v>124</v>
      </c>
      <c r="E911">
        <v>197</v>
      </c>
      <c r="F911">
        <v>0</v>
      </c>
      <c r="G911" t="s">
        <v>14</v>
      </c>
      <c r="H911">
        <v>136</v>
      </c>
      <c r="I911" t="s">
        <v>22</v>
      </c>
      <c r="J911">
        <v>0</v>
      </c>
      <c r="K911" t="s">
        <v>19</v>
      </c>
      <c r="L911">
        <v>1</v>
      </c>
    </row>
    <row r="912" spans="1:12" x14ac:dyDescent="0.3">
      <c r="A912">
        <v>41</v>
      </c>
      <c r="B912" t="s">
        <v>12</v>
      </c>
      <c r="C912" t="s">
        <v>13</v>
      </c>
      <c r="D912">
        <v>120</v>
      </c>
      <c r="E912">
        <v>157</v>
      </c>
      <c r="F912">
        <v>0</v>
      </c>
      <c r="G912" t="s">
        <v>14</v>
      </c>
      <c r="H912">
        <v>182</v>
      </c>
      <c r="I912" t="s">
        <v>15</v>
      </c>
      <c r="J912">
        <v>0</v>
      </c>
      <c r="K912" t="s">
        <v>16</v>
      </c>
      <c r="L912">
        <v>0</v>
      </c>
    </row>
    <row r="913" spans="1:12" x14ac:dyDescent="0.3">
      <c r="A913">
        <v>59</v>
      </c>
      <c r="B913" t="s">
        <v>12</v>
      </c>
      <c r="C913" t="s">
        <v>21</v>
      </c>
      <c r="D913">
        <v>164</v>
      </c>
      <c r="E913">
        <v>176</v>
      </c>
      <c r="F913">
        <v>1</v>
      </c>
      <c r="G913" t="s">
        <v>24</v>
      </c>
      <c r="H913">
        <v>90</v>
      </c>
      <c r="I913" t="s">
        <v>15</v>
      </c>
      <c r="J913">
        <v>1</v>
      </c>
      <c r="K913" t="s">
        <v>19</v>
      </c>
      <c r="L913">
        <v>1</v>
      </c>
    </row>
    <row r="914" spans="1:12" x14ac:dyDescent="0.3">
      <c r="A914">
        <v>57</v>
      </c>
      <c r="B914" t="s">
        <v>17</v>
      </c>
      <c r="C914" t="s">
        <v>21</v>
      </c>
      <c r="D914">
        <v>140</v>
      </c>
      <c r="E914">
        <v>241</v>
      </c>
      <c r="F914">
        <v>0</v>
      </c>
      <c r="G914" t="s">
        <v>14</v>
      </c>
      <c r="H914">
        <v>123</v>
      </c>
      <c r="I914" t="s">
        <v>22</v>
      </c>
      <c r="J914">
        <v>0.2</v>
      </c>
      <c r="K914" t="s">
        <v>19</v>
      </c>
      <c r="L914">
        <v>1</v>
      </c>
    </row>
    <row r="915" spans="1:12" x14ac:dyDescent="0.3">
      <c r="A915">
        <v>45</v>
      </c>
      <c r="B915" t="s">
        <v>12</v>
      </c>
      <c r="C915" t="s">
        <v>23</v>
      </c>
      <c r="D915">
        <v>110</v>
      </c>
      <c r="E915">
        <v>264</v>
      </c>
      <c r="F915">
        <v>0</v>
      </c>
      <c r="G915" t="s">
        <v>14</v>
      </c>
      <c r="H915">
        <v>132</v>
      </c>
      <c r="I915" t="s">
        <v>15</v>
      </c>
      <c r="J915">
        <v>1.2</v>
      </c>
      <c r="K915" t="s">
        <v>19</v>
      </c>
      <c r="L915">
        <v>1</v>
      </c>
    </row>
    <row r="916" spans="1:12" x14ac:dyDescent="0.3">
      <c r="A916">
        <v>68</v>
      </c>
      <c r="B916" t="s">
        <v>12</v>
      </c>
      <c r="C916" t="s">
        <v>21</v>
      </c>
      <c r="D916">
        <v>144</v>
      </c>
      <c r="E916">
        <v>193</v>
      </c>
      <c r="F916">
        <v>1</v>
      </c>
      <c r="G916" t="s">
        <v>14</v>
      </c>
      <c r="H916">
        <v>141</v>
      </c>
      <c r="I916" t="s">
        <v>15</v>
      </c>
      <c r="J916">
        <v>3.4</v>
      </c>
      <c r="K916" t="s">
        <v>19</v>
      </c>
      <c r="L916">
        <v>1</v>
      </c>
    </row>
    <row r="917" spans="1:12" x14ac:dyDescent="0.3">
      <c r="A917">
        <v>57</v>
      </c>
      <c r="B917" t="s">
        <v>12</v>
      </c>
      <c r="C917" t="s">
        <v>21</v>
      </c>
      <c r="D917">
        <v>130</v>
      </c>
      <c r="E917">
        <v>131</v>
      </c>
      <c r="F917">
        <v>0</v>
      </c>
      <c r="G917" t="s">
        <v>14</v>
      </c>
      <c r="H917">
        <v>115</v>
      </c>
      <c r="I917" t="s">
        <v>22</v>
      </c>
      <c r="J917">
        <v>1.2</v>
      </c>
      <c r="K917" t="s">
        <v>19</v>
      </c>
      <c r="L917">
        <v>1</v>
      </c>
    </row>
    <row r="918" spans="1:12" x14ac:dyDescent="0.3">
      <c r="A918">
        <v>57</v>
      </c>
      <c r="B918" t="s">
        <v>17</v>
      </c>
      <c r="C918" t="s">
        <v>13</v>
      </c>
      <c r="D918">
        <v>130</v>
      </c>
      <c r="E918">
        <v>236</v>
      </c>
      <c r="F918">
        <v>0</v>
      </c>
      <c r="G918" t="s">
        <v>24</v>
      </c>
      <c r="H918">
        <v>174</v>
      </c>
      <c r="I918" t="s">
        <v>15</v>
      </c>
      <c r="J918">
        <v>0</v>
      </c>
      <c r="K918" t="s">
        <v>19</v>
      </c>
      <c r="L918">
        <v>1</v>
      </c>
    </row>
    <row r="919" spans="1:12" x14ac:dyDescent="0.3">
      <c r="A919">
        <v>38</v>
      </c>
      <c r="B919" t="s">
        <v>12</v>
      </c>
      <c r="C919" t="s">
        <v>18</v>
      </c>
      <c r="D919">
        <v>138</v>
      </c>
      <c r="E919">
        <v>175</v>
      </c>
      <c r="F919">
        <v>0</v>
      </c>
      <c r="G919" t="s">
        <v>14</v>
      </c>
      <c r="H919">
        <v>173</v>
      </c>
      <c r="I919" t="s">
        <v>15</v>
      </c>
      <c r="J919">
        <v>0</v>
      </c>
      <c r="K919" t="s">
        <v>16</v>
      </c>
      <c r="L919">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F9E0A6-2E80-41DC-86BA-5B6588B02CD2}">
  <dimension ref="A1:E8"/>
  <sheetViews>
    <sheetView workbookViewId="0">
      <selection activeCell="E2" sqref="E2"/>
    </sheetView>
  </sheetViews>
  <sheetFormatPr defaultRowHeight="14.4" x14ac:dyDescent="0.3"/>
  <cols>
    <col min="1" max="1" width="12.21875" customWidth="1"/>
    <col min="2" max="2" width="6.5546875" customWidth="1"/>
    <col min="3" max="3" width="6.88671875" customWidth="1"/>
    <col min="4" max="4" width="12" customWidth="1"/>
    <col min="5" max="5" width="9.6640625" customWidth="1"/>
  </cols>
  <sheetData>
    <row r="1" spans="1:5" x14ac:dyDescent="0.3">
      <c r="A1" t="s">
        <v>26</v>
      </c>
      <c r="B1" t="s">
        <v>27</v>
      </c>
      <c r="C1" t="s">
        <v>28</v>
      </c>
      <c r="D1" t="s">
        <v>29</v>
      </c>
      <c r="E1" t="s">
        <v>30</v>
      </c>
    </row>
    <row r="2" spans="1:5" x14ac:dyDescent="0.3">
      <c r="A2" t="s">
        <v>0</v>
      </c>
      <c r="B2">
        <f>MIN(heart!A2:A919)</f>
        <v>28</v>
      </c>
      <c r="C2">
        <f>MAX(heart[Age])</f>
        <v>77</v>
      </c>
      <c r="D2">
        <f>AVERAGE(heart[Age])</f>
        <v>53.510893246187365</v>
      </c>
      <c r="E2">
        <f>MEDIAN(heart[Age])</f>
        <v>54</v>
      </c>
    </row>
    <row r="3" spans="1:5" x14ac:dyDescent="0.3">
      <c r="A3" t="s">
        <v>31</v>
      </c>
      <c r="B3">
        <f>MIN(heart[RestingBP])</f>
        <v>0</v>
      </c>
      <c r="C3">
        <f>MAX(heart[RestingBP])</f>
        <v>200</v>
      </c>
      <c r="D3">
        <f>AVERAGE(heart[RestingBP])</f>
        <v>132.39651416122004</v>
      </c>
      <c r="E3">
        <f>MEDIAN(heart[RestingBP])</f>
        <v>130</v>
      </c>
    </row>
    <row r="4" spans="1:5" x14ac:dyDescent="0.3">
      <c r="A4" t="s">
        <v>4</v>
      </c>
      <c r="B4">
        <f>MIN(heart[Cholesterol])</f>
        <v>0</v>
      </c>
      <c r="C4">
        <f>MAX(heart[Cholesterol])</f>
        <v>603</v>
      </c>
      <c r="D4">
        <f>AVERAGE(heart[Cholesterol])</f>
        <v>198.7995642701525</v>
      </c>
      <c r="E4">
        <f>MEDIAN(heart[Cholesterol])</f>
        <v>223</v>
      </c>
    </row>
    <row r="5" spans="1:5" x14ac:dyDescent="0.3">
      <c r="A5" t="s">
        <v>32</v>
      </c>
      <c r="B5">
        <f>MIN(heart[FastingBS])</f>
        <v>0</v>
      </c>
      <c r="C5">
        <f>MAX(heart[FastingBS])</f>
        <v>1</v>
      </c>
      <c r="D5">
        <f>AVERAGE(heart[FastingBS])</f>
        <v>0.23311546840958605</v>
      </c>
      <c r="E5">
        <f>MEDIAN(heart[FastingBS])</f>
        <v>0</v>
      </c>
    </row>
    <row r="6" spans="1:5" x14ac:dyDescent="0.3">
      <c r="A6" t="s">
        <v>33</v>
      </c>
      <c r="B6">
        <f>MIN(heart[MaxHR])</f>
        <v>60</v>
      </c>
      <c r="C6">
        <f>MAX(heart[MaxHR])</f>
        <v>202</v>
      </c>
      <c r="D6">
        <f>AVERAGE(heart[MaxHR])</f>
        <v>136.80936819172112</v>
      </c>
      <c r="E6">
        <f>MEDIAN(heart[MaxHR])</f>
        <v>138</v>
      </c>
    </row>
    <row r="7" spans="1:5" x14ac:dyDescent="0.3">
      <c r="A7" t="s">
        <v>34</v>
      </c>
      <c r="B7">
        <f>MIN(heart[Oldpeak])</f>
        <v>-2.6</v>
      </c>
      <c r="C7">
        <f>MAX(heart[Oldpeak])</f>
        <v>6.2</v>
      </c>
      <c r="D7">
        <f>AVERAGE(heart[Oldpeak])</f>
        <v>0.88736383442265809</v>
      </c>
      <c r="E7">
        <f>MEDIAN(heart[Oldpeak])</f>
        <v>0.6</v>
      </c>
    </row>
    <row r="8" spans="1:5" x14ac:dyDescent="0.3">
      <c r="A8" t="s">
        <v>35</v>
      </c>
      <c r="B8">
        <f>MIN(heart[HeartDisease])</f>
        <v>0</v>
      </c>
      <c r="C8">
        <f>MAX(heart[HeartDisease])</f>
        <v>1</v>
      </c>
      <c r="D8">
        <f>AVERAGE(heart[HeartDisease])</f>
        <v>0.55337690631808278</v>
      </c>
      <c r="E8">
        <f>MEDIAN(heart[HeartDisease])</f>
        <v>1</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B34C09-3F96-42F1-B8A3-5E66CD7BC132}">
  <dimension ref="A2:B43"/>
  <sheetViews>
    <sheetView workbookViewId="0">
      <selection activeCell="M33" sqref="M33"/>
    </sheetView>
  </sheetViews>
  <sheetFormatPr defaultRowHeight="14.4" x14ac:dyDescent="0.3"/>
  <sheetData>
    <row r="2" spans="1:2" x14ac:dyDescent="0.3">
      <c r="A2" t="s">
        <v>43</v>
      </c>
      <c r="B2" t="s">
        <v>36</v>
      </c>
    </row>
    <row r="3" spans="1:2" x14ac:dyDescent="0.3">
      <c r="A3" t="s">
        <v>37</v>
      </c>
      <c r="B3">
        <f>COUNTIFS(heart!A:A,"&gt;=20",heart!A:A,"&lt;=29")</f>
        <v>4</v>
      </c>
    </row>
    <row r="4" spans="1:2" x14ac:dyDescent="0.3">
      <c r="A4" t="s">
        <v>38</v>
      </c>
      <c r="B4">
        <f>COUNTIFS(heart!A:A,"&gt;=30",heart!A:A,"&lt;=39")</f>
        <v>76</v>
      </c>
    </row>
    <row r="5" spans="1:2" x14ac:dyDescent="0.3">
      <c r="A5" t="s">
        <v>39</v>
      </c>
      <c r="B5">
        <f>COUNTIFS(heart!A:A,"&gt;=40",heart!A:A,"&lt;=49")</f>
        <v>211</v>
      </c>
    </row>
    <row r="6" spans="1:2" x14ac:dyDescent="0.3">
      <c r="A6" t="s">
        <v>40</v>
      </c>
      <c r="B6">
        <f>COUNTIFS(heart!A:A,"&gt;=50",heart!A:A,"&lt;=59")</f>
        <v>374</v>
      </c>
    </row>
    <row r="7" spans="1:2" x14ac:dyDescent="0.3">
      <c r="A7" t="s">
        <v>41</v>
      </c>
      <c r="B7">
        <f>COUNTIFS(heart!A:A,"&gt;=60",heart!A:A,"&lt;=69")</f>
        <v>222</v>
      </c>
    </row>
    <row r="8" spans="1:2" x14ac:dyDescent="0.3">
      <c r="A8" t="s">
        <v>42</v>
      </c>
      <c r="B8">
        <f>COUNTIFS(heart!A:A,"&gt;=70",heart!A:A,"&lt;=79")</f>
        <v>31</v>
      </c>
    </row>
    <row r="19" spans="1:2" x14ac:dyDescent="0.3">
      <c r="A19" t="s">
        <v>44</v>
      </c>
      <c r="B19" t="s">
        <v>36</v>
      </c>
    </row>
    <row r="20" spans="1:2" x14ac:dyDescent="0.3">
      <c r="A20" t="s">
        <v>45</v>
      </c>
      <c r="B20">
        <f>COUNTIFS(heart!E:E,"&gt;=0",heart!E:E,"&lt;=150")</f>
        <v>192</v>
      </c>
    </row>
    <row r="21" spans="1:2" x14ac:dyDescent="0.3">
      <c r="A21" t="s">
        <v>46</v>
      </c>
      <c r="B21">
        <f>COUNTIFS(heart!E:E,"&gt;=150",heart!E:E,"&lt;=200")</f>
        <v>130</v>
      </c>
    </row>
    <row r="22" spans="1:2" x14ac:dyDescent="0.3">
      <c r="A22" t="s">
        <v>47</v>
      </c>
      <c r="B22">
        <f>COUNTIFS(heart!E:E,"&gt;=200",heart!E:E,"&lt;=250")</f>
        <v>295</v>
      </c>
    </row>
    <row r="23" spans="1:2" x14ac:dyDescent="0.3">
      <c r="A23" t="s">
        <v>48</v>
      </c>
      <c r="B23">
        <f>COUNTIFS(heart!E:E,"&gt;=250",heart!E:E,"&lt;=300")</f>
        <v>207</v>
      </c>
    </row>
    <row r="24" spans="1:2" x14ac:dyDescent="0.3">
      <c r="A24" t="s">
        <v>49</v>
      </c>
      <c r="B24">
        <f>COUNTIFS(heart!E:E,"&gt;=300",heart!E:E,"&lt;=350")</f>
        <v>78</v>
      </c>
    </row>
    <row r="25" spans="1:2" x14ac:dyDescent="0.3">
      <c r="A25" t="s">
        <v>50</v>
      </c>
      <c r="B25">
        <f>COUNTIFS(heart!E:E,"&gt;=350",heart!E:E,"&lt;=400")</f>
        <v>14</v>
      </c>
    </row>
    <row r="26" spans="1:2" x14ac:dyDescent="0.3">
      <c r="A26" t="s">
        <v>51</v>
      </c>
      <c r="B26">
        <f>COUNTIFS(heart!E:E,"&gt;=400",heart!E:E,"&lt;=450")</f>
        <v>5</v>
      </c>
    </row>
    <row r="27" spans="1:2" x14ac:dyDescent="0.3">
      <c r="A27" t="s">
        <v>52</v>
      </c>
      <c r="B27">
        <f>COUNTIFS(heart!E:E,"&gt;=450",heart!E:E,"&lt;=600")</f>
        <v>7</v>
      </c>
    </row>
    <row r="35" spans="1:2" x14ac:dyDescent="0.3">
      <c r="A35" t="s">
        <v>53</v>
      </c>
      <c r="B35" t="s">
        <v>36</v>
      </c>
    </row>
    <row r="36" spans="1:2" x14ac:dyDescent="0.3">
      <c r="A36" t="s">
        <v>54</v>
      </c>
      <c r="B36">
        <f>COUNTIFS(heart!H:H,"&gt;=60",heart!H:H,"&lt;=80")</f>
        <v>13</v>
      </c>
    </row>
    <row r="37" spans="1:2" x14ac:dyDescent="0.3">
      <c r="A37" t="s">
        <v>55</v>
      </c>
      <c r="B37">
        <f>COUNTIFS(heart!H:H,"&gt;=80",heart!H:H,"&lt;=100")</f>
        <v>74</v>
      </c>
    </row>
    <row r="38" spans="1:2" x14ac:dyDescent="0.3">
      <c r="A38" t="s">
        <v>56</v>
      </c>
      <c r="B38">
        <f>COUNTIFS(heart!H:H,"&gt;=100",heart!H:H,"&lt;=120")</f>
        <v>190</v>
      </c>
    </row>
    <row r="39" spans="1:2" x14ac:dyDescent="0.3">
      <c r="A39" t="s">
        <v>57</v>
      </c>
      <c r="B39">
        <f>COUNTIFS(heart!H:H,"&gt;=120",heart!H:H,"&lt;=140")</f>
        <v>287</v>
      </c>
    </row>
    <row r="40" spans="1:2" x14ac:dyDescent="0.3">
      <c r="A40" t="s">
        <v>58</v>
      </c>
      <c r="B40">
        <f>COUNTIFS(heart!H:H,"&gt;=140",heart!H:H,"&lt;=160")</f>
        <v>271</v>
      </c>
    </row>
    <row r="41" spans="1:2" x14ac:dyDescent="0.3">
      <c r="A41" t="s">
        <v>59</v>
      </c>
      <c r="B41">
        <f>COUNTIFS(heart!H:H,"&gt;=160",heart!H:H,"&lt;=180")</f>
        <v>174</v>
      </c>
    </row>
    <row r="42" spans="1:2" x14ac:dyDescent="0.3">
      <c r="A42" t="s">
        <v>60</v>
      </c>
      <c r="B42">
        <f>COUNTIFS(heart!H:H,"&gt;=180",heart!H:H,"&lt;=200")</f>
        <v>36</v>
      </c>
    </row>
    <row r="43" spans="1:2" x14ac:dyDescent="0.3">
      <c r="A43" t="s">
        <v>61</v>
      </c>
      <c r="B43">
        <f>COUNTIFS(heart!H:H,"&gt;=200",heart!H:H,"&lt;=220")</f>
        <v>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065A94-FA4C-4EF6-9FCA-228987E1913E}">
  <dimension ref="A1:G919"/>
  <sheetViews>
    <sheetView topLeftCell="A890" workbookViewId="0">
      <selection activeCell="K909" sqref="K909"/>
    </sheetView>
  </sheetViews>
  <sheetFormatPr defaultRowHeight="14.4" x14ac:dyDescent="0.3"/>
  <cols>
    <col min="1" max="1" width="6.44140625" customWidth="1"/>
    <col min="2" max="2" width="11.5546875" customWidth="1"/>
    <col min="3" max="3" width="12.6640625" customWidth="1"/>
    <col min="4" max="4" width="11.21875" customWidth="1"/>
    <col min="5" max="5" width="9.21875" customWidth="1"/>
    <col min="6" max="6" width="10.21875" customWidth="1"/>
    <col min="7" max="7" width="14" customWidth="1"/>
  </cols>
  <sheetData>
    <row r="1" spans="1:7" x14ac:dyDescent="0.3">
      <c r="A1" t="s">
        <v>0</v>
      </c>
      <c r="B1" t="s">
        <v>3</v>
      </c>
      <c r="C1" t="s">
        <v>4</v>
      </c>
      <c r="D1" t="s">
        <v>5</v>
      </c>
      <c r="E1" t="s">
        <v>7</v>
      </c>
      <c r="F1" t="s">
        <v>9</v>
      </c>
      <c r="G1" t="s">
        <v>11</v>
      </c>
    </row>
    <row r="2" spans="1:7" x14ac:dyDescent="0.3">
      <c r="A2">
        <v>40</v>
      </c>
      <c r="B2">
        <v>140</v>
      </c>
      <c r="C2">
        <v>289</v>
      </c>
      <c r="D2">
        <v>0</v>
      </c>
      <c r="E2">
        <v>172</v>
      </c>
      <c r="F2">
        <v>0</v>
      </c>
      <c r="G2">
        <v>0</v>
      </c>
    </row>
    <row r="3" spans="1:7" x14ac:dyDescent="0.3">
      <c r="A3">
        <v>49</v>
      </c>
      <c r="B3">
        <v>160</v>
      </c>
      <c r="C3">
        <v>180</v>
      </c>
      <c r="D3">
        <v>0</v>
      </c>
      <c r="E3">
        <v>156</v>
      </c>
      <c r="F3">
        <v>1</v>
      </c>
      <c r="G3">
        <v>1</v>
      </c>
    </row>
    <row r="4" spans="1:7" x14ac:dyDescent="0.3">
      <c r="A4">
        <v>37</v>
      </c>
      <c r="B4">
        <v>130</v>
      </c>
      <c r="C4">
        <v>283</v>
      </c>
      <c r="D4">
        <v>0</v>
      </c>
      <c r="E4">
        <v>98</v>
      </c>
      <c r="F4">
        <v>0</v>
      </c>
      <c r="G4">
        <v>0</v>
      </c>
    </row>
    <row r="5" spans="1:7" x14ac:dyDescent="0.3">
      <c r="A5">
        <v>48</v>
      </c>
      <c r="B5">
        <v>138</v>
      </c>
      <c r="C5">
        <v>214</v>
      </c>
      <c r="D5">
        <v>0</v>
      </c>
      <c r="E5">
        <v>108</v>
      </c>
      <c r="F5">
        <v>1.5</v>
      </c>
      <c r="G5">
        <v>1</v>
      </c>
    </row>
    <row r="6" spans="1:7" x14ac:dyDescent="0.3">
      <c r="A6">
        <v>54</v>
      </c>
      <c r="B6">
        <v>150</v>
      </c>
      <c r="C6">
        <v>195</v>
      </c>
      <c r="D6">
        <v>0</v>
      </c>
      <c r="E6">
        <v>122</v>
      </c>
      <c r="F6">
        <v>0</v>
      </c>
      <c r="G6">
        <v>0</v>
      </c>
    </row>
    <row r="7" spans="1:7" x14ac:dyDescent="0.3">
      <c r="A7">
        <v>39</v>
      </c>
      <c r="B7">
        <v>120</v>
      </c>
      <c r="C7">
        <v>339</v>
      </c>
      <c r="D7">
        <v>0</v>
      </c>
      <c r="E7">
        <v>170</v>
      </c>
      <c r="F7">
        <v>0</v>
      </c>
      <c r="G7">
        <v>0</v>
      </c>
    </row>
    <row r="8" spans="1:7" x14ac:dyDescent="0.3">
      <c r="A8">
        <v>45</v>
      </c>
      <c r="B8">
        <v>130</v>
      </c>
      <c r="C8">
        <v>237</v>
      </c>
      <c r="D8">
        <v>0</v>
      </c>
      <c r="E8">
        <v>170</v>
      </c>
      <c r="F8">
        <v>0</v>
      </c>
      <c r="G8">
        <v>0</v>
      </c>
    </row>
    <row r="9" spans="1:7" x14ac:dyDescent="0.3">
      <c r="A9">
        <v>54</v>
      </c>
      <c r="B9">
        <v>110</v>
      </c>
      <c r="C9">
        <v>208</v>
      </c>
      <c r="D9">
        <v>0</v>
      </c>
      <c r="E9">
        <v>142</v>
      </c>
      <c r="F9">
        <v>0</v>
      </c>
      <c r="G9">
        <v>0</v>
      </c>
    </row>
    <row r="10" spans="1:7" x14ac:dyDescent="0.3">
      <c r="A10">
        <v>37</v>
      </c>
      <c r="B10">
        <v>140</v>
      </c>
      <c r="C10">
        <v>207</v>
      </c>
      <c r="D10">
        <v>0</v>
      </c>
      <c r="E10">
        <v>130</v>
      </c>
      <c r="F10">
        <v>1.5</v>
      </c>
      <c r="G10">
        <v>1</v>
      </c>
    </row>
    <row r="11" spans="1:7" x14ac:dyDescent="0.3">
      <c r="A11">
        <v>48</v>
      </c>
      <c r="B11">
        <v>120</v>
      </c>
      <c r="C11">
        <v>284</v>
      </c>
      <c r="D11">
        <v>0</v>
      </c>
      <c r="E11">
        <v>120</v>
      </c>
      <c r="F11">
        <v>0</v>
      </c>
      <c r="G11">
        <v>0</v>
      </c>
    </row>
    <row r="12" spans="1:7" x14ac:dyDescent="0.3">
      <c r="A12">
        <v>37</v>
      </c>
      <c r="B12">
        <v>130</v>
      </c>
      <c r="C12">
        <v>211</v>
      </c>
      <c r="D12">
        <v>0</v>
      </c>
      <c r="E12">
        <v>142</v>
      </c>
      <c r="F12">
        <v>0</v>
      </c>
      <c r="G12">
        <v>0</v>
      </c>
    </row>
    <row r="13" spans="1:7" x14ac:dyDescent="0.3">
      <c r="A13">
        <v>58</v>
      </c>
      <c r="B13">
        <v>136</v>
      </c>
      <c r="C13">
        <v>164</v>
      </c>
      <c r="D13">
        <v>0</v>
      </c>
      <c r="E13">
        <v>99</v>
      </c>
      <c r="F13">
        <v>2</v>
      </c>
      <c r="G13">
        <v>1</v>
      </c>
    </row>
    <row r="14" spans="1:7" x14ac:dyDescent="0.3">
      <c r="A14">
        <v>39</v>
      </c>
      <c r="B14">
        <v>120</v>
      </c>
      <c r="C14">
        <v>204</v>
      </c>
      <c r="D14">
        <v>0</v>
      </c>
      <c r="E14">
        <v>145</v>
      </c>
      <c r="F14">
        <v>0</v>
      </c>
      <c r="G14">
        <v>0</v>
      </c>
    </row>
    <row r="15" spans="1:7" x14ac:dyDescent="0.3">
      <c r="A15">
        <v>49</v>
      </c>
      <c r="B15">
        <v>140</v>
      </c>
      <c r="C15">
        <v>234</v>
      </c>
      <c r="D15">
        <v>0</v>
      </c>
      <c r="E15">
        <v>140</v>
      </c>
      <c r="F15">
        <v>1</v>
      </c>
      <c r="G15">
        <v>1</v>
      </c>
    </row>
    <row r="16" spans="1:7" x14ac:dyDescent="0.3">
      <c r="A16">
        <v>42</v>
      </c>
      <c r="B16">
        <v>115</v>
      </c>
      <c r="C16">
        <v>211</v>
      </c>
      <c r="D16">
        <v>0</v>
      </c>
      <c r="E16">
        <v>137</v>
      </c>
      <c r="F16">
        <v>0</v>
      </c>
      <c r="G16">
        <v>0</v>
      </c>
    </row>
    <row r="17" spans="1:7" x14ac:dyDescent="0.3">
      <c r="A17">
        <v>54</v>
      </c>
      <c r="B17">
        <v>120</v>
      </c>
      <c r="C17">
        <v>273</v>
      </c>
      <c r="D17">
        <v>0</v>
      </c>
      <c r="E17">
        <v>150</v>
      </c>
      <c r="F17">
        <v>1.5</v>
      </c>
      <c r="G17">
        <v>0</v>
      </c>
    </row>
    <row r="18" spans="1:7" x14ac:dyDescent="0.3">
      <c r="A18">
        <v>38</v>
      </c>
      <c r="B18">
        <v>110</v>
      </c>
      <c r="C18">
        <v>196</v>
      </c>
      <c r="D18">
        <v>0</v>
      </c>
      <c r="E18">
        <v>166</v>
      </c>
      <c r="F18">
        <v>0</v>
      </c>
      <c r="G18">
        <v>1</v>
      </c>
    </row>
    <row r="19" spans="1:7" x14ac:dyDescent="0.3">
      <c r="A19">
        <v>43</v>
      </c>
      <c r="B19">
        <v>120</v>
      </c>
      <c r="C19">
        <v>201</v>
      </c>
      <c r="D19">
        <v>0</v>
      </c>
      <c r="E19">
        <v>165</v>
      </c>
      <c r="F19">
        <v>0</v>
      </c>
      <c r="G19">
        <v>0</v>
      </c>
    </row>
    <row r="20" spans="1:7" x14ac:dyDescent="0.3">
      <c r="A20">
        <v>60</v>
      </c>
      <c r="B20">
        <v>100</v>
      </c>
      <c r="C20">
        <v>248</v>
      </c>
      <c r="D20">
        <v>0</v>
      </c>
      <c r="E20">
        <v>125</v>
      </c>
      <c r="F20">
        <v>1</v>
      </c>
      <c r="G20">
        <v>1</v>
      </c>
    </row>
    <row r="21" spans="1:7" x14ac:dyDescent="0.3">
      <c r="A21">
        <v>36</v>
      </c>
      <c r="B21">
        <v>120</v>
      </c>
      <c r="C21">
        <v>267</v>
      </c>
      <c r="D21">
        <v>0</v>
      </c>
      <c r="E21">
        <v>160</v>
      </c>
      <c r="F21">
        <v>3</v>
      </c>
      <c r="G21">
        <v>1</v>
      </c>
    </row>
    <row r="22" spans="1:7" x14ac:dyDescent="0.3">
      <c r="A22">
        <v>43</v>
      </c>
      <c r="B22">
        <v>100</v>
      </c>
      <c r="C22">
        <v>223</v>
      </c>
      <c r="D22">
        <v>0</v>
      </c>
      <c r="E22">
        <v>142</v>
      </c>
      <c r="F22">
        <v>0</v>
      </c>
      <c r="G22">
        <v>0</v>
      </c>
    </row>
    <row r="23" spans="1:7" x14ac:dyDescent="0.3">
      <c r="A23">
        <v>44</v>
      </c>
      <c r="B23">
        <v>120</v>
      </c>
      <c r="C23">
        <v>184</v>
      </c>
      <c r="D23">
        <v>0</v>
      </c>
      <c r="E23">
        <v>142</v>
      </c>
      <c r="F23">
        <v>1</v>
      </c>
      <c r="G23">
        <v>0</v>
      </c>
    </row>
    <row r="24" spans="1:7" x14ac:dyDescent="0.3">
      <c r="A24">
        <v>49</v>
      </c>
      <c r="B24">
        <v>124</v>
      </c>
      <c r="C24">
        <v>201</v>
      </c>
      <c r="D24">
        <v>0</v>
      </c>
      <c r="E24">
        <v>164</v>
      </c>
      <c r="F24">
        <v>0</v>
      </c>
      <c r="G24">
        <v>0</v>
      </c>
    </row>
    <row r="25" spans="1:7" x14ac:dyDescent="0.3">
      <c r="A25">
        <v>44</v>
      </c>
      <c r="B25">
        <v>150</v>
      </c>
      <c r="C25">
        <v>288</v>
      </c>
      <c r="D25">
        <v>0</v>
      </c>
      <c r="E25">
        <v>150</v>
      </c>
      <c r="F25">
        <v>3</v>
      </c>
      <c r="G25">
        <v>1</v>
      </c>
    </row>
    <row r="26" spans="1:7" x14ac:dyDescent="0.3">
      <c r="A26">
        <v>40</v>
      </c>
      <c r="B26">
        <v>130</v>
      </c>
      <c r="C26">
        <v>215</v>
      </c>
      <c r="D26">
        <v>0</v>
      </c>
      <c r="E26">
        <v>138</v>
      </c>
      <c r="F26">
        <v>0</v>
      </c>
      <c r="G26">
        <v>0</v>
      </c>
    </row>
    <row r="27" spans="1:7" x14ac:dyDescent="0.3">
      <c r="A27">
        <v>36</v>
      </c>
      <c r="B27">
        <v>130</v>
      </c>
      <c r="C27">
        <v>209</v>
      </c>
      <c r="D27">
        <v>0</v>
      </c>
      <c r="E27">
        <v>178</v>
      </c>
      <c r="F27">
        <v>0</v>
      </c>
      <c r="G27">
        <v>0</v>
      </c>
    </row>
    <row r="28" spans="1:7" x14ac:dyDescent="0.3">
      <c r="A28">
        <v>53</v>
      </c>
      <c r="B28">
        <v>124</v>
      </c>
      <c r="C28">
        <v>260</v>
      </c>
      <c r="D28">
        <v>0</v>
      </c>
      <c r="E28">
        <v>112</v>
      </c>
      <c r="F28">
        <v>3</v>
      </c>
      <c r="G28">
        <v>0</v>
      </c>
    </row>
    <row r="29" spans="1:7" x14ac:dyDescent="0.3">
      <c r="A29">
        <v>52</v>
      </c>
      <c r="B29">
        <v>120</v>
      </c>
      <c r="C29">
        <v>284</v>
      </c>
      <c r="D29">
        <v>0</v>
      </c>
      <c r="E29">
        <v>118</v>
      </c>
      <c r="F29">
        <v>0</v>
      </c>
      <c r="G29">
        <v>0</v>
      </c>
    </row>
    <row r="30" spans="1:7" x14ac:dyDescent="0.3">
      <c r="A30">
        <v>53</v>
      </c>
      <c r="B30">
        <v>113</v>
      </c>
      <c r="C30">
        <v>468</v>
      </c>
      <c r="D30">
        <v>0</v>
      </c>
      <c r="E30">
        <v>127</v>
      </c>
      <c r="F30">
        <v>0</v>
      </c>
      <c r="G30">
        <v>0</v>
      </c>
    </row>
    <row r="31" spans="1:7" x14ac:dyDescent="0.3">
      <c r="A31">
        <v>51</v>
      </c>
      <c r="B31">
        <v>125</v>
      </c>
      <c r="C31">
        <v>188</v>
      </c>
      <c r="D31">
        <v>0</v>
      </c>
      <c r="E31">
        <v>145</v>
      </c>
      <c r="F31">
        <v>0</v>
      </c>
      <c r="G31">
        <v>0</v>
      </c>
    </row>
    <row r="32" spans="1:7" x14ac:dyDescent="0.3">
      <c r="A32">
        <v>53</v>
      </c>
      <c r="B32">
        <v>145</v>
      </c>
      <c r="C32">
        <v>518</v>
      </c>
      <c r="D32">
        <v>0</v>
      </c>
      <c r="E32">
        <v>130</v>
      </c>
      <c r="F32">
        <v>0</v>
      </c>
      <c r="G32">
        <v>1</v>
      </c>
    </row>
    <row r="33" spans="1:7" x14ac:dyDescent="0.3">
      <c r="A33">
        <v>56</v>
      </c>
      <c r="B33">
        <v>130</v>
      </c>
      <c r="C33">
        <v>167</v>
      </c>
      <c r="D33">
        <v>0</v>
      </c>
      <c r="E33">
        <v>114</v>
      </c>
      <c r="F33">
        <v>0</v>
      </c>
      <c r="G33">
        <v>0</v>
      </c>
    </row>
    <row r="34" spans="1:7" x14ac:dyDescent="0.3">
      <c r="A34">
        <v>54</v>
      </c>
      <c r="B34">
        <v>125</v>
      </c>
      <c r="C34">
        <v>224</v>
      </c>
      <c r="D34">
        <v>0</v>
      </c>
      <c r="E34">
        <v>122</v>
      </c>
      <c r="F34">
        <v>2</v>
      </c>
      <c r="G34">
        <v>1</v>
      </c>
    </row>
    <row r="35" spans="1:7" x14ac:dyDescent="0.3">
      <c r="A35">
        <v>41</v>
      </c>
      <c r="B35">
        <v>130</v>
      </c>
      <c r="C35">
        <v>172</v>
      </c>
      <c r="D35">
        <v>0</v>
      </c>
      <c r="E35">
        <v>130</v>
      </c>
      <c r="F35">
        <v>2</v>
      </c>
      <c r="G35">
        <v>1</v>
      </c>
    </row>
    <row r="36" spans="1:7" x14ac:dyDescent="0.3">
      <c r="A36">
        <v>43</v>
      </c>
      <c r="B36">
        <v>150</v>
      </c>
      <c r="C36">
        <v>186</v>
      </c>
      <c r="D36">
        <v>0</v>
      </c>
      <c r="E36">
        <v>154</v>
      </c>
      <c r="F36">
        <v>0</v>
      </c>
      <c r="G36">
        <v>0</v>
      </c>
    </row>
    <row r="37" spans="1:7" x14ac:dyDescent="0.3">
      <c r="A37">
        <v>32</v>
      </c>
      <c r="B37">
        <v>125</v>
      </c>
      <c r="C37">
        <v>254</v>
      </c>
      <c r="D37">
        <v>0</v>
      </c>
      <c r="E37">
        <v>155</v>
      </c>
      <c r="F37">
        <v>0</v>
      </c>
      <c r="G37">
        <v>0</v>
      </c>
    </row>
    <row r="38" spans="1:7" x14ac:dyDescent="0.3">
      <c r="A38">
        <v>65</v>
      </c>
      <c r="B38">
        <v>140</v>
      </c>
      <c r="C38">
        <v>306</v>
      </c>
      <c r="D38">
        <v>1</v>
      </c>
      <c r="E38">
        <v>87</v>
      </c>
      <c r="F38">
        <v>1.5</v>
      </c>
      <c r="G38">
        <v>1</v>
      </c>
    </row>
    <row r="39" spans="1:7" x14ac:dyDescent="0.3">
      <c r="A39">
        <v>41</v>
      </c>
      <c r="B39">
        <v>110</v>
      </c>
      <c r="C39">
        <v>250</v>
      </c>
      <c r="D39">
        <v>0</v>
      </c>
      <c r="E39">
        <v>142</v>
      </c>
      <c r="F39">
        <v>0</v>
      </c>
      <c r="G39">
        <v>0</v>
      </c>
    </row>
    <row r="40" spans="1:7" x14ac:dyDescent="0.3">
      <c r="A40">
        <v>48</v>
      </c>
      <c r="B40">
        <v>120</v>
      </c>
      <c r="C40">
        <v>177</v>
      </c>
      <c r="D40">
        <v>1</v>
      </c>
      <c r="E40">
        <v>148</v>
      </c>
      <c r="F40">
        <v>0</v>
      </c>
      <c r="G40">
        <v>0</v>
      </c>
    </row>
    <row r="41" spans="1:7" x14ac:dyDescent="0.3">
      <c r="A41">
        <v>48</v>
      </c>
      <c r="B41">
        <v>150</v>
      </c>
      <c r="C41">
        <v>227</v>
      </c>
      <c r="D41">
        <v>0</v>
      </c>
      <c r="E41">
        <v>130</v>
      </c>
      <c r="F41">
        <v>1</v>
      </c>
      <c r="G41">
        <v>0</v>
      </c>
    </row>
    <row r="42" spans="1:7" x14ac:dyDescent="0.3">
      <c r="A42">
        <v>54</v>
      </c>
      <c r="B42">
        <v>150</v>
      </c>
      <c r="C42">
        <v>230</v>
      </c>
      <c r="D42">
        <v>0</v>
      </c>
      <c r="E42">
        <v>130</v>
      </c>
      <c r="F42">
        <v>0</v>
      </c>
      <c r="G42">
        <v>0</v>
      </c>
    </row>
    <row r="43" spans="1:7" x14ac:dyDescent="0.3">
      <c r="A43">
        <v>54</v>
      </c>
      <c r="B43">
        <v>130</v>
      </c>
      <c r="C43">
        <v>294</v>
      </c>
      <c r="D43">
        <v>0</v>
      </c>
      <c r="E43">
        <v>100</v>
      </c>
      <c r="F43">
        <v>0</v>
      </c>
      <c r="G43">
        <v>1</v>
      </c>
    </row>
    <row r="44" spans="1:7" x14ac:dyDescent="0.3">
      <c r="A44">
        <v>35</v>
      </c>
      <c r="B44">
        <v>150</v>
      </c>
      <c r="C44">
        <v>264</v>
      </c>
      <c r="D44">
        <v>0</v>
      </c>
      <c r="E44">
        <v>168</v>
      </c>
      <c r="F44">
        <v>0</v>
      </c>
      <c r="G44">
        <v>0</v>
      </c>
    </row>
    <row r="45" spans="1:7" x14ac:dyDescent="0.3">
      <c r="A45">
        <v>52</v>
      </c>
      <c r="B45">
        <v>140</v>
      </c>
      <c r="C45">
        <v>259</v>
      </c>
      <c r="D45">
        <v>0</v>
      </c>
      <c r="E45">
        <v>170</v>
      </c>
      <c r="F45">
        <v>0</v>
      </c>
      <c r="G45">
        <v>0</v>
      </c>
    </row>
    <row r="46" spans="1:7" x14ac:dyDescent="0.3">
      <c r="A46">
        <v>43</v>
      </c>
      <c r="B46">
        <v>120</v>
      </c>
      <c r="C46">
        <v>175</v>
      </c>
      <c r="D46">
        <v>0</v>
      </c>
      <c r="E46">
        <v>120</v>
      </c>
      <c r="F46">
        <v>1</v>
      </c>
      <c r="G46">
        <v>1</v>
      </c>
    </row>
    <row r="47" spans="1:7" x14ac:dyDescent="0.3">
      <c r="A47">
        <v>59</v>
      </c>
      <c r="B47">
        <v>130</v>
      </c>
      <c r="C47">
        <v>318</v>
      </c>
      <c r="D47">
        <v>0</v>
      </c>
      <c r="E47">
        <v>120</v>
      </c>
      <c r="F47">
        <v>1</v>
      </c>
      <c r="G47">
        <v>0</v>
      </c>
    </row>
    <row r="48" spans="1:7" x14ac:dyDescent="0.3">
      <c r="A48">
        <v>37</v>
      </c>
      <c r="B48">
        <v>120</v>
      </c>
      <c r="C48">
        <v>223</v>
      </c>
      <c r="D48">
        <v>0</v>
      </c>
      <c r="E48">
        <v>168</v>
      </c>
      <c r="F48">
        <v>0</v>
      </c>
      <c r="G48">
        <v>0</v>
      </c>
    </row>
    <row r="49" spans="1:7" x14ac:dyDescent="0.3">
      <c r="A49">
        <v>50</v>
      </c>
      <c r="B49">
        <v>140</v>
      </c>
      <c r="C49">
        <v>216</v>
      </c>
      <c r="D49">
        <v>0</v>
      </c>
      <c r="E49">
        <v>170</v>
      </c>
      <c r="F49">
        <v>0</v>
      </c>
      <c r="G49">
        <v>0</v>
      </c>
    </row>
    <row r="50" spans="1:7" x14ac:dyDescent="0.3">
      <c r="A50">
        <v>36</v>
      </c>
      <c r="B50">
        <v>112</v>
      </c>
      <c r="C50">
        <v>340</v>
      </c>
      <c r="D50">
        <v>0</v>
      </c>
      <c r="E50">
        <v>184</v>
      </c>
      <c r="F50">
        <v>1</v>
      </c>
      <c r="G50">
        <v>0</v>
      </c>
    </row>
    <row r="51" spans="1:7" x14ac:dyDescent="0.3">
      <c r="A51">
        <v>41</v>
      </c>
      <c r="B51">
        <v>110</v>
      </c>
      <c r="C51">
        <v>289</v>
      </c>
      <c r="D51">
        <v>0</v>
      </c>
      <c r="E51">
        <v>170</v>
      </c>
      <c r="F51">
        <v>0</v>
      </c>
      <c r="G51">
        <v>1</v>
      </c>
    </row>
    <row r="52" spans="1:7" x14ac:dyDescent="0.3">
      <c r="A52">
        <v>50</v>
      </c>
      <c r="B52">
        <v>130</v>
      </c>
      <c r="C52">
        <v>233</v>
      </c>
      <c r="D52">
        <v>0</v>
      </c>
      <c r="E52">
        <v>121</v>
      </c>
      <c r="F52">
        <v>2</v>
      </c>
      <c r="G52">
        <v>1</v>
      </c>
    </row>
    <row r="53" spans="1:7" x14ac:dyDescent="0.3">
      <c r="A53">
        <v>47</v>
      </c>
      <c r="B53">
        <v>120</v>
      </c>
      <c r="C53">
        <v>205</v>
      </c>
      <c r="D53">
        <v>0</v>
      </c>
      <c r="E53">
        <v>98</v>
      </c>
      <c r="F53">
        <v>2</v>
      </c>
      <c r="G53">
        <v>1</v>
      </c>
    </row>
    <row r="54" spans="1:7" x14ac:dyDescent="0.3">
      <c r="A54">
        <v>45</v>
      </c>
      <c r="B54">
        <v>140</v>
      </c>
      <c r="C54">
        <v>224</v>
      </c>
      <c r="D54">
        <v>1</v>
      </c>
      <c r="E54">
        <v>122</v>
      </c>
      <c r="F54">
        <v>0</v>
      </c>
      <c r="G54">
        <v>0</v>
      </c>
    </row>
    <row r="55" spans="1:7" x14ac:dyDescent="0.3">
      <c r="A55">
        <v>41</v>
      </c>
      <c r="B55">
        <v>130</v>
      </c>
      <c r="C55">
        <v>245</v>
      </c>
      <c r="D55">
        <v>0</v>
      </c>
      <c r="E55">
        <v>150</v>
      </c>
      <c r="F55">
        <v>0</v>
      </c>
      <c r="G55">
        <v>0</v>
      </c>
    </row>
    <row r="56" spans="1:7" x14ac:dyDescent="0.3">
      <c r="A56">
        <v>52</v>
      </c>
      <c r="B56">
        <v>130</v>
      </c>
      <c r="C56">
        <v>180</v>
      </c>
      <c r="D56">
        <v>0</v>
      </c>
      <c r="E56">
        <v>140</v>
      </c>
      <c r="F56">
        <v>1.5</v>
      </c>
      <c r="G56">
        <v>0</v>
      </c>
    </row>
    <row r="57" spans="1:7" x14ac:dyDescent="0.3">
      <c r="A57">
        <v>51</v>
      </c>
      <c r="B57">
        <v>160</v>
      </c>
      <c r="C57">
        <v>194</v>
      </c>
      <c r="D57">
        <v>0</v>
      </c>
      <c r="E57">
        <v>170</v>
      </c>
      <c r="F57">
        <v>0</v>
      </c>
      <c r="G57">
        <v>0</v>
      </c>
    </row>
    <row r="58" spans="1:7" x14ac:dyDescent="0.3">
      <c r="A58">
        <v>31</v>
      </c>
      <c r="B58">
        <v>120</v>
      </c>
      <c r="C58">
        <v>270</v>
      </c>
      <c r="D58">
        <v>0</v>
      </c>
      <c r="E58">
        <v>153</v>
      </c>
      <c r="F58">
        <v>1.5</v>
      </c>
      <c r="G58">
        <v>1</v>
      </c>
    </row>
    <row r="59" spans="1:7" x14ac:dyDescent="0.3">
      <c r="A59">
        <v>58</v>
      </c>
      <c r="B59">
        <v>130</v>
      </c>
      <c r="C59">
        <v>213</v>
      </c>
      <c r="D59">
        <v>0</v>
      </c>
      <c r="E59">
        <v>140</v>
      </c>
      <c r="F59">
        <v>0</v>
      </c>
      <c r="G59">
        <v>1</v>
      </c>
    </row>
    <row r="60" spans="1:7" x14ac:dyDescent="0.3">
      <c r="A60">
        <v>54</v>
      </c>
      <c r="B60">
        <v>150</v>
      </c>
      <c r="C60">
        <v>365</v>
      </c>
      <c r="D60">
        <v>0</v>
      </c>
      <c r="E60">
        <v>134</v>
      </c>
      <c r="F60">
        <v>1</v>
      </c>
      <c r="G60">
        <v>0</v>
      </c>
    </row>
    <row r="61" spans="1:7" x14ac:dyDescent="0.3">
      <c r="A61">
        <v>52</v>
      </c>
      <c r="B61">
        <v>112</v>
      </c>
      <c r="C61">
        <v>342</v>
      </c>
      <c r="D61">
        <v>0</v>
      </c>
      <c r="E61">
        <v>96</v>
      </c>
      <c r="F61">
        <v>1</v>
      </c>
      <c r="G61">
        <v>1</v>
      </c>
    </row>
    <row r="62" spans="1:7" x14ac:dyDescent="0.3">
      <c r="A62">
        <v>49</v>
      </c>
      <c r="B62">
        <v>100</v>
      </c>
      <c r="C62">
        <v>253</v>
      </c>
      <c r="D62">
        <v>0</v>
      </c>
      <c r="E62">
        <v>174</v>
      </c>
      <c r="F62">
        <v>0</v>
      </c>
      <c r="G62">
        <v>0</v>
      </c>
    </row>
    <row r="63" spans="1:7" x14ac:dyDescent="0.3">
      <c r="A63">
        <v>43</v>
      </c>
      <c r="B63">
        <v>150</v>
      </c>
      <c r="C63">
        <v>254</v>
      </c>
      <c r="D63">
        <v>0</v>
      </c>
      <c r="E63">
        <v>175</v>
      </c>
      <c r="F63">
        <v>0</v>
      </c>
      <c r="G63">
        <v>0</v>
      </c>
    </row>
    <row r="64" spans="1:7" x14ac:dyDescent="0.3">
      <c r="A64">
        <v>45</v>
      </c>
      <c r="B64">
        <v>140</v>
      </c>
      <c r="C64">
        <v>224</v>
      </c>
      <c r="D64">
        <v>0</v>
      </c>
      <c r="E64">
        <v>144</v>
      </c>
      <c r="F64">
        <v>0</v>
      </c>
      <c r="G64">
        <v>0</v>
      </c>
    </row>
    <row r="65" spans="1:7" x14ac:dyDescent="0.3">
      <c r="A65">
        <v>46</v>
      </c>
      <c r="B65">
        <v>120</v>
      </c>
      <c r="C65">
        <v>277</v>
      </c>
      <c r="D65">
        <v>0</v>
      </c>
      <c r="E65">
        <v>125</v>
      </c>
      <c r="F65">
        <v>1</v>
      </c>
      <c r="G65">
        <v>1</v>
      </c>
    </row>
    <row r="66" spans="1:7" x14ac:dyDescent="0.3">
      <c r="A66">
        <v>50</v>
      </c>
      <c r="B66">
        <v>110</v>
      </c>
      <c r="C66">
        <v>202</v>
      </c>
      <c r="D66">
        <v>0</v>
      </c>
      <c r="E66">
        <v>145</v>
      </c>
      <c r="F66">
        <v>0</v>
      </c>
      <c r="G66">
        <v>0</v>
      </c>
    </row>
    <row r="67" spans="1:7" x14ac:dyDescent="0.3">
      <c r="A67">
        <v>37</v>
      </c>
      <c r="B67">
        <v>120</v>
      </c>
      <c r="C67">
        <v>260</v>
      </c>
      <c r="D67">
        <v>0</v>
      </c>
      <c r="E67">
        <v>130</v>
      </c>
      <c r="F67">
        <v>0</v>
      </c>
      <c r="G67">
        <v>0</v>
      </c>
    </row>
    <row r="68" spans="1:7" x14ac:dyDescent="0.3">
      <c r="A68">
        <v>45</v>
      </c>
      <c r="B68">
        <v>132</v>
      </c>
      <c r="C68">
        <v>297</v>
      </c>
      <c r="D68">
        <v>0</v>
      </c>
      <c r="E68">
        <v>144</v>
      </c>
      <c r="F68">
        <v>0</v>
      </c>
      <c r="G68">
        <v>0</v>
      </c>
    </row>
    <row r="69" spans="1:7" x14ac:dyDescent="0.3">
      <c r="A69">
        <v>32</v>
      </c>
      <c r="B69">
        <v>110</v>
      </c>
      <c r="C69">
        <v>225</v>
      </c>
      <c r="D69">
        <v>0</v>
      </c>
      <c r="E69">
        <v>184</v>
      </c>
      <c r="F69">
        <v>0</v>
      </c>
      <c r="G69">
        <v>0</v>
      </c>
    </row>
    <row r="70" spans="1:7" x14ac:dyDescent="0.3">
      <c r="A70">
        <v>52</v>
      </c>
      <c r="B70">
        <v>160</v>
      </c>
      <c r="C70">
        <v>246</v>
      </c>
      <c r="D70">
        <v>0</v>
      </c>
      <c r="E70">
        <v>82</v>
      </c>
      <c r="F70">
        <v>4</v>
      </c>
      <c r="G70">
        <v>1</v>
      </c>
    </row>
    <row r="71" spans="1:7" x14ac:dyDescent="0.3">
      <c r="A71">
        <v>44</v>
      </c>
      <c r="B71">
        <v>150</v>
      </c>
      <c r="C71">
        <v>412</v>
      </c>
      <c r="D71">
        <v>0</v>
      </c>
      <c r="E71">
        <v>170</v>
      </c>
      <c r="F71">
        <v>0</v>
      </c>
      <c r="G71">
        <v>0</v>
      </c>
    </row>
    <row r="72" spans="1:7" x14ac:dyDescent="0.3">
      <c r="A72">
        <v>57</v>
      </c>
      <c r="B72">
        <v>140</v>
      </c>
      <c r="C72">
        <v>265</v>
      </c>
      <c r="D72">
        <v>0</v>
      </c>
      <c r="E72">
        <v>145</v>
      </c>
      <c r="F72">
        <v>1</v>
      </c>
      <c r="G72">
        <v>1</v>
      </c>
    </row>
    <row r="73" spans="1:7" x14ac:dyDescent="0.3">
      <c r="A73">
        <v>44</v>
      </c>
      <c r="B73">
        <v>130</v>
      </c>
      <c r="C73">
        <v>215</v>
      </c>
      <c r="D73">
        <v>0</v>
      </c>
      <c r="E73">
        <v>135</v>
      </c>
      <c r="F73">
        <v>0</v>
      </c>
      <c r="G73">
        <v>0</v>
      </c>
    </row>
    <row r="74" spans="1:7" x14ac:dyDescent="0.3">
      <c r="A74">
        <v>52</v>
      </c>
      <c r="B74">
        <v>120</v>
      </c>
      <c r="C74">
        <v>182</v>
      </c>
      <c r="D74">
        <v>0</v>
      </c>
      <c r="E74">
        <v>150</v>
      </c>
      <c r="F74">
        <v>0</v>
      </c>
      <c r="G74">
        <v>1</v>
      </c>
    </row>
    <row r="75" spans="1:7" x14ac:dyDescent="0.3">
      <c r="A75">
        <v>44</v>
      </c>
      <c r="B75">
        <v>120</v>
      </c>
      <c r="C75">
        <v>218</v>
      </c>
      <c r="D75">
        <v>0</v>
      </c>
      <c r="E75">
        <v>115</v>
      </c>
      <c r="F75">
        <v>0</v>
      </c>
      <c r="G75">
        <v>0</v>
      </c>
    </row>
    <row r="76" spans="1:7" x14ac:dyDescent="0.3">
      <c r="A76">
        <v>55</v>
      </c>
      <c r="B76">
        <v>140</v>
      </c>
      <c r="C76">
        <v>268</v>
      </c>
      <c r="D76">
        <v>0</v>
      </c>
      <c r="E76">
        <v>128</v>
      </c>
      <c r="F76">
        <v>1.5</v>
      </c>
      <c r="G76">
        <v>1</v>
      </c>
    </row>
    <row r="77" spans="1:7" x14ac:dyDescent="0.3">
      <c r="A77">
        <v>46</v>
      </c>
      <c r="B77">
        <v>150</v>
      </c>
      <c r="C77">
        <v>163</v>
      </c>
      <c r="D77">
        <v>0</v>
      </c>
      <c r="E77">
        <v>116</v>
      </c>
      <c r="F77">
        <v>0</v>
      </c>
      <c r="G77">
        <v>0</v>
      </c>
    </row>
    <row r="78" spans="1:7" x14ac:dyDescent="0.3">
      <c r="A78">
        <v>32</v>
      </c>
      <c r="B78">
        <v>118</v>
      </c>
      <c r="C78">
        <v>529</v>
      </c>
      <c r="D78">
        <v>0</v>
      </c>
      <c r="E78">
        <v>130</v>
      </c>
      <c r="F78">
        <v>0</v>
      </c>
      <c r="G78">
        <v>1</v>
      </c>
    </row>
    <row r="79" spans="1:7" x14ac:dyDescent="0.3">
      <c r="A79">
        <v>35</v>
      </c>
      <c r="B79">
        <v>140</v>
      </c>
      <c r="C79">
        <v>167</v>
      </c>
      <c r="D79">
        <v>0</v>
      </c>
      <c r="E79">
        <v>150</v>
      </c>
      <c r="F79">
        <v>0</v>
      </c>
      <c r="G79">
        <v>0</v>
      </c>
    </row>
    <row r="80" spans="1:7" x14ac:dyDescent="0.3">
      <c r="A80">
        <v>52</v>
      </c>
      <c r="B80">
        <v>140</v>
      </c>
      <c r="C80">
        <v>100</v>
      </c>
      <c r="D80">
        <v>0</v>
      </c>
      <c r="E80">
        <v>138</v>
      </c>
      <c r="F80">
        <v>0</v>
      </c>
      <c r="G80">
        <v>0</v>
      </c>
    </row>
    <row r="81" spans="1:7" x14ac:dyDescent="0.3">
      <c r="A81">
        <v>49</v>
      </c>
      <c r="B81">
        <v>130</v>
      </c>
      <c r="C81">
        <v>206</v>
      </c>
      <c r="D81">
        <v>0</v>
      </c>
      <c r="E81">
        <v>170</v>
      </c>
      <c r="F81">
        <v>0</v>
      </c>
      <c r="G81">
        <v>1</v>
      </c>
    </row>
    <row r="82" spans="1:7" x14ac:dyDescent="0.3">
      <c r="A82">
        <v>55</v>
      </c>
      <c r="B82">
        <v>110</v>
      </c>
      <c r="C82">
        <v>277</v>
      </c>
      <c r="D82">
        <v>0</v>
      </c>
      <c r="E82">
        <v>160</v>
      </c>
      <c r="F82">
        <v>0</v>
      </c>
      <c r="G82">
        <v>0</v>
      </c>
    </row>
    <row r="83" spans="1:7" x14ac:dyDescent="0.3">
      <c r="A83">
        <v>54</v>
      </c>
      <c r="B83">
        <v>120</v>
      </c>
      <c r="C83">
        <v>238</v>
      </c>
      <c r="D83">
        <v>0</v>
      </c>
      <c r="E83">
        <v>154</v>
      </c>
      <c r="F83">
        <v>0</v>
      </c>
      <c r="G83">
        <v>0</v>
      </c>
    </row>
    <row r="84" spans="1:7" x14ac:dyDescent="0.3">
      <c r="A84">
        <v>63</v>
      </c>
      <c r="B84">
        <v>150</v>
      </c>
      <c r="C84">
        <v>223</v>
      </c>
      <c r="D84">
        <v>0</v>
      </c>
      <c r="E84">
        <v>115</v>
      </c>
      <c r="F84">
        <v>0</v>
      </c>
      <c r="G84">
        <v>1</v>
      </c>
    </row>
    <row r="85" spans="1:7" x14ac:dyDescent="0.3">
      <c r="A85">
        <v>52</v>
      </c>
      <c r="B85">
        <v>160</v>
      </c>
      <c r="C85">
        <v>196</v>
      </c>
      <c r="D85">
        <v>0</v>
      </c>
      <c r="E85">
        <v>165</v>
      </c>
      <c r="F85">
        <v>0</v>
      </c>
      <c r="G85">
        <v>0</v>
      </c>
    </row>
    <row r="86" spans="1:7" x14ac:dyDescent="0.3">
      <c r="A86">
        <v>56</v>
      </c>
      <c r="B86">
        <v>150</v>
      </c>
      <c r="C86">
        <v>213</v>
      </c>
      <c r="D86">
        <v>1</v>
      </c>
      <c r="E86">
        <v>125</v>
      </c>
      <c r="F86">
        <v>1</v>
      </c>
      <c r="G86">
        <v>1</v>
      </c>
    </row>
    <row r="87" spans="1:7" x14ac:dyDescent="0.3">
      <c r="A87">
        <v>66</v>
      </c>
      <c r="B87">
        <v>140</v>
      </c>
      <c r="C87">
        <v>139</v>
      </c>
      <c r="D87">
        <v>0</v>
      </c>
      <c r="E87">
        <v>94</v>
      </c>
      <c r="F87">
        <v>1</v>
      </c>
      <c r="G87">
        <v>1</v>
      </c>
    </row>
    <row r="88" spans="1:7" x14ac:dyDescent="0.3">
      <c r="A88">
        <v>65</v>
      </c>
      <c r="B88">
        <v>170</v>
      </c>
      <c r="C88">
        <v>263</v>
      </c>
      <c r="D88">
        <v>1</v>
      </c>
      <c r="E88">
        <v>112</v>
      </c>
      <c r="F88">
        <v>2</v>
      </c>
      <c r="G88">
        <v>1</v>
      </c>
    </row>
    <row r="89" spans="1:7" x14ac:dyDescent="0.3">
      <c r="A89">
        <v>53</v>
      </c>
      <c r="B89">
        <v>140</v>
      </c>
      <c r="C89">
        <v>216</v>
      </c>
      <c r="D89">
        <v>0</v>
      </c>
      <c r="E89">
        <v>142</v>
      </c>
      <c r="F89">
        <v>2</v>
      </c>
      <c r="G89">
        <v>0</v>
      </c>
    </row>
    <row r="90" spans="1:7" x14ac:dyDescent="0.3">
      <c r="A90">
        <v>43</v>
      </c>
      <c r="B90">
        <v>120</v>
      </c>
      <c r="C90">
        <v>291</v>
      </c>
      <c r="D90">
        <v>0</v>
      </c>
      <c r="E90">
        <v>155</v>
      </c>
      <c r="F90">
        <v>0</v>
      </c>
      <c r="G90">
        <v>1</v>
      </c>
    </row>
    <row r="91" spans="1:7" x14ac:dyDescent="0.3">
      <c r="A91">
        <v>55</v>
      </c>
      <c r="B91">
        <v>140</v>
      </c>
      <c r="C91">
        <v>229</v>
      </c>
      <c r="D91">
        <v>0</v>
      </c>
      <c r="E91">
        <v>110</v>
      </c>
      <c r="F91">
        <v>0.5</v>
      </c>
      <c r="G91">
        <v>0</v>
      </c>
    </row>
    <row r="92" spans="1:7" x14ac:dyDescent="0.3">
      <c r="A92">
        <v>49</v>
      </c>
      <c r="B92">
        <v>110</v>
      </c>
      <c r="C92">
        <v>208</v>
      </c>
      <c r="D92">
        <v>0</v>
      </c>
      <c r="E92">
        <v>160</v>
      </c>
      <c r="F92">
        <v>0</v>
      </c>
      <c r="G92">
        <v>0</v>
      </c>
    </row>
    <row r="93" spans="1:7" x14ac:dyDescent="0.3">
      <c r="A93">
        <v>39</v>
      </c>
      <c r="B93">
        <v>130</v>
      </c>
      <c r="C93">
        <v>307</v>
      </c>
      <c r="D93">
        <v>0</v>
      </c>
      <c r="E93">
        <v>140</v>
      </c>
      <c r="F93">
        <v>0</v>
      </c>
      <c r="G93">
        <v>0</v>
      </c>
    </row>
    <row r="94" spans="1:7" x14ac:dyDescent="0.3">
      <c r="A94">
        <v>52</v>
      </c>
      <c r="B94">
        <v>120</v>
      </c>
      <c r="C94">
        <v>210</v>
      </c>
      <c r="D94">
        <v>0</v>
      </c>
      <c r="E94">
        <v>148</v>
      </c>
      <c r="F94">
        <v>0</v>
      </c>
      <c r="G94">
        <v>0</v>
      </c>
    </row>
    <row r="95" spans="1:7" x14ac:dyDescent="0.3">
      <c r="A95">
        <v>48</v>
      </c>
      <c r="B95">
        <v>160</v>
      </c>
      <c r="C95">
        <v>329</v>
      </c>
      <c r="D95">
        <v>0</v>
      </c>
      <c r="E95">
        <v>92</v>
      </c>
      <c r="F95">
        <v>1.5</v>
      </c>
      <c r="G95">
        <v>1</v>
      </c>
    </row>
    <row r="96" spans="1:7" x14ac:dyDescent="0.3">
      <c r="A96">
        <v>39</v>
      </c>
      <c r="B96">
        <v>110</v>
      </c>
      <c r="C96">
        <v>182</v>
      </c>
      <c r="D96">
        <v>0</v>
      </c>
      <c r="E96">
        <v>180</v>
      </c>
      <c r="F96">
        <v>0</v>
      </c>
      <c r="G96">
        <v>0</v>
      </c>
    </row>
    <row r="97" spans="1:7" x14ac:dyDescent="0.3">
      <c r="A97">
        <v>58</v>
      </c>
      <c r="B97">
        <v>130</v>
      </c>
      <c r="C97">
        <v>263</v>
      </c>
      <c r="D97">
        <v>0</v>
      </c>
      <c r="E97">
        <v>140</v>
      </c>
      <c r="F97">
        <v>2</v>
      </c>
      <c r="G97">
        <v>1</v>
      </c>
    </row>
    <row r="98" spans="1:7" x14ac:dyDescent="0.3">
      <c r="A98">
        <v>43</v>
      </c>
      <c r="B98">
        <v>142</v>
      </c>
      <c r="C98">
        <v>207</v>
      </c>
      <c r="D98">
        <v>0</v>
      </c>
      <c r="E98">
        <v>138</v>
      </c>
      <c r="F98">
        <v>0</v>
      </c>
      <c r="G98">
        <v>0</v>
      </c>
    </row>
    <row r="99" spans="1:7" x14ac:dyDescent="0.3">
      <c r="A99">
        <v>39</v>
      </c>
      <c r="B99">
        <v>160</v>
      </c>
      <c r="C99">
        <v>147</v>
      </c>
      <c r="D99">
        <v>1</v>
      </c>
      <c r="E99">
        <v>160</v>
      </c>
      <c r="F99">
        <v>0</v>
      </c>
      <c r="G99">
        <v>0</v>
      </c>
    </row>
    <row r="100" spans="1:7" x14ac:dyDescent="0.3">
      <c r="A100">
        <v>56</v>
      </c>
      <c r="B100">
        <v>120</v>
      </c>
      <c r="C100">
        <v>85</v>
      </c>
      <c r="D100">
        <v>0</v>
      </c>
      <c r="E100">
        <v>140</v>
      </c>
      <c r="F100">
        <v>0</v>
      </c>
      <c r="G100">
        <v>0</v>
      </c>
    </row>
    <row r="101" spans="1:7" x14ac:dyDescent="0.3">
      <c r="A101">
        <v>41</v>
      </c>
      <c r="B101">
        <v>125</v>
      </c>
      <c r="C101">
        <v>269</v>
      </c>
      <c r="D101">
        <v>0</v>
      </c>
      <c r="E101">
        <v>144</v>
      </c>
      <c r="F101">
        <v>0</v>
      </c>
      <c r="G101">
        <v>0</v>
      </c>
    </row>
    <row r="102" spans="1:7" x14ac:dyDescent="0.3">
      <c r="A102">
        <v>65</v>
      </c>
      <c r="B102">
        <v>130</v>
      </c>
      <c r="C102">
        <v>275</v>
      </c>
      <c r="D102">
        <v>0</v>
      </c>
      <c r="E102">
        <v>115</v>
      </c>
      <c r="F102">
        <v>1</v>
      </c>
      <c r="G102">
        <v>1</v>
      </c>
    </row>
    <row r="103" spans="1:7" x14ac:dyDescent="0.3">
      <c r="A103">
        <v>51</v>
      </c>
      <c r="B103">
        <v>130</v>
      </c>
      <c r="C103">
        <v>179</v>
      </c>
      <c r="D103">
        <v>0</v>
      </c>
      <c r="E103">
        <v>100</v>
      </c>
      <c r="F103">
        <v>0</v>
      </c>
      <c r="G103">
        <v>0</v>
      </c>
    </row>
    <row r="104" spans="1:7" x14ac:dyDescent="0.3">
      <c r="A104">
        <v>40</v>
      </c>
      <c r="B104">
        <v>150</v>
      </c>
      <c r="C104">
        <v>392</v>
      </c>
      <c r="D104">
        <v>0</v>
      </c>
      <c r="E104">
        <v>130</v>
      </c>
      <c r="F104">
        <v>2</v>
      </c>
      <c r="G104">
        <v>1</v>
      </c>
    </row>
    <row r="105" spans="1:7" x14ac:dyDescent="0.3">
      <c r="A105">
        <v>40</v>
      </c>
      <c r="B105">
        <v>120</v>
      </c>
      <c r="C105">
        <v>466</v>
      </c>
      <c r="D105">
        <v>1</v>
      </c>
      <c r="E105">
        <v>152</v>
      </c>
      <c r="F105">
        <v>1</v>
      </c>
      <c r="G105">
        <v>1</v>
      </c>
    </row>
    <row r="106" spans="1:7" x14ac:dyDescent="0.3">
      <c r="A106">
        <v>46</v>
      </c>
      <c r="B106">
        <v>118</v>
      </c>
      <c r="C106">
        <v>186</v>
      </c>
      <c r="D106">
        <v>0</v>
      </c>
      <c r="E106">
        <v>124</v>
      </c>
      <c r="F106">
        <v>0</v>
      </c>
      <c r="G106">
        <v>1</v>
      </c>
    </row>
    <row r="107" spans="1:7" x14ac:dyDescent="0.3">
      <c r="A107">
        <v>57</v>
      </c>
      <c r="B107">
        <v>140</v>
      </c>
      <c r="C107">
        <v>260</v>
      </c>
      <c r="D107">
        <v>1</v>
      </c>
      <c r="E107">
        <v>140</v>
      </c>
      <c r="F107">
        <v>0</v>
      </c>
      <c r="G107">
        <v>0</v>
      </c>
    </row>
    <row r="108" spans="1:7" x14ac:dyDescent="0.3">
      <c r="A108">
        <v>48</v>
      </c>
      <c r="B108">
        <v>120</v>
      </c>
      <c r="C108">
        <v>254</v>
      </c>
      <c r="D108">
        <v>0</v>
      </c>
      <c r="E108">
        <v>110</v>
      </c>
      <c r="F108">
        <v>0</v>
      </c>
      <c r="G108">
        <v>0</v>
      </c>
    </row>
    <row r="109" spans="1:7" x14ac:dyDescent="0.3">
      <c r="A109">
        <v>34</v>
      </c>
      <c r="B109">
        <v>150</v>
      </c>
      <c r="C109">
        <v>214</v>
      </c>
      <c r="D109">
        <v>0</v>
      </c>
      <c r="E109">
        <v>168</v>
      </c>
      <c r="F109">
        <v>0</v>
      </c>
      <c r="G109">
        <v>0</v>
      </c>
    </row>
    <row r="110" spans="1:7" x14ac:dyDescent="0.3">
      <c r="A110">
        <v>50</v>
      </c>
      <c r="B110">
        <v>140</v>
      </c>
      <c r="C110">
        <v>129</v>
      </c>
      <c r="D110">
        <v>0</v>
      </c>
      <c r="E110">
        <v>135</v>
      </c>
      <c r="F110">
        <v>0</v>
      </c>
      <c r="G110">
        <v>0</v>
      </c>
    </row>
    <row r="111" spans="1:7" x14ac:dyDescent="0.3">
      <c r="A111">
        <v>39</v>
      </c>
      <c r="B111">
        <v>190</v>
      </c>
      <c r="C111">
        <v>241</v>
      </c>
      <c r="D111">
        <v>0</v>
      </c>
      <c r="E111">
        <v>106</v>
      </c>
      <c r="F111">
        <v>0</v>
      </c>
      <c r="G111">
        <v>0</v>
      </c>
    </row>
    <row r="112" spans="1:7" x14ac:dyDescent="0.3">
      <c r="A112">
        <v>59</v>
      </c>
      <c r="B112">
        <v>130</v>
      </c>
      <c r="C112">
        <v>188</v>
      </c>
      <c r="D112">
        <v>0</v>
      </c>
      <c r="E112">
        <v>124</v>
      </c>
      <c r="F112">
        <v>1</v>
      </c>
      <c r="G112">
        <v>0</v>
      </c>
    </row>
    <row r="113" spans="1:7" x14ac:dyDescent="0.3">
      <c r="A113">
        <v>57</v>
      </c>
      <c r="B113">
        <v>150</v>
      </c>
      <c r="C113">
        <v>255</v>
      </c>
      <c r="D113">
        <v>0</v>
      </c>
      <c r="E113">
        <v>92</v>
      </c>
      <c r="F113">
        <v>3</v>
      </c>
      <c r="G113">
        <v>1</v>
      </c>
    </row>
    <row r="114" spans="1:7" x14ac:dyDescent="0.3">
      <c r="A114">
        <v>47</v>
      </c>
      <c r="B114">
        <v>140</v>
      </c>
      <c r="C114">
        <v>276</v>
      </c>
      <c r="D114">
        <v>1</v>
      </c>
      <c r="E114">
        <v>125</v>
      </c>
      <c r="F114">
        <v>0</v>
      </c>
      <c r="G114">
        <v>0</v>
      </c>
    </row>
    <row r="115" spans="1:7" x14ac:dyDescent="0.3">
      <c r="A115">
        <v>38</v>
      </c>
      <c r="B115">
        <v>140</v>
      </c>
      <c r="C115">
        <v>297</v>
      </c>
      <c r="D115">
        <v>0</v>
      </c>
      <c r="E115">
        <v>150</v>
      </c>
      <c r="F115">
        <v>0</v>
      </c>
      <c r="G115">
        <v>0</v>
      </c>
    </row>
    <row r="116" spans="1:7" x14ac:dyDescent="0.3">
      <c r="A116">
        <v>49</v>
      </c>
      <c r="B116">
        <v>130</v>
      </c>
      <c r="C116">
        <v>207</v>
      </c>
      <c r="D116">
        <v>0</v>
      </c>
      <c r="E116">
        <v>135</v>
      </c>
      <c r="F116">
        <v>0</v>
      </c>
      <c r="G116">
        <v>0</v>
      </c>
    </row>
    <row r="117" spans="1:7" x14ac:dyDescent="0.3">
      <c r="A117">
        <v>33</v>
      </c>
      <c r="B117">
        <v>100</v>
      </c>
      <c r="C117">
        <v>246</v>
      </c>
      <c r="D117">
        <v>0</v>
      </c>
      <c r="E117">
        <v>150</v>
      </c>
      <c r="F117">
        <v>1</v>
      </c>
      <c r="G117">
        <v>1</v>
      </c>
    </row>
    <row r="118" spans="1:7" x14ac:dyDescent="0.3">
      <c r="A118">
        <v>38</v>
      </c>
      <c r="B118">
        <v>120</v>
      </c>
      <c r="C118">
        <v>282</v>
      </c>
      <c r="D118">
        <v>0</v>
      </c>
      <c r="E118">
        <v>170</v>
      </c>
      <c r="F118">
        <v>0</v>
      </c>
      <c r="G118">
        <v>1</v>
      </c>
    </row>
    <row r="119" spans="1:7" x14ac:dyDescent="0.3">
      <c r="A119">
        <v>59</v>
      </c>
      <c r="B119">
        <v>130</v>
      </c>
      <c r="C119">
        <v>338</v>
      </c>
      <c r="D119">
        <v>1</v>
      </c>
      <c r="E119">
        <v>130</v>
      </c>
      <c r="F119">
        <v>1.5</v>
      </c>
      <c r="G119">
        <v>1</v>
      </c>
    </row>
    <row r="120" spans="1:7" x14ac:dyDescent="0.3">
      <c r="A120">
        <v>35</v>
      </c>
      <c r="B120">
        <v>120</v>
      </c>
      <c r="C120">
        <v>160</v>
      </c>
      <c r="D120">
        <v>0</v>
      </c>
      <c r="E120">
        <v>185</v>
      </c>
      <c r="F120">
        <v>0</v>
      </c>
      <c r="G120">
        <v>0</v>
      </c>
    </row>
    <row r="121" spans="1:7" x14ac:dyDescent="0.3">
      <c r="A121">
        <v>34</v>
      </c>
      <c r="B121">
        <v>140</v>
      </c>
      <c r="C121">
        <v>156</v>
      </c>
      <c r="D121">
        <v>0</v>
      </c>
      <c r="E121">
        <v>180</v>
      </c>
      <c r="F121">
        <v>0</v>
      </c>
      <c r="G121">
        <v>1</v>
      </c>
    </row>
    <row r="122" spans="1:7" x14ac:dyDescent="0.3">
      <c r="A122">
        <v>47</v>
      </c>
      <c r="B122">
        <v>135</v>
      </c>
      <c r="C122">
        <v>248</v>
      </c>
      <c r="D122">
        <v>1</v>
      </c>
      <c r="E122">
        <v>170</v>
      </c>
      <c r="F122">
        <v>0</v>
      </c>
      <c r="G122">
        <v>1</v>
      </c>
    </row>
    <row r="123" spans="1:7" x14ac:dyDescent="0.3">
      <c r="A123">
        <v>52</v>
      </c>
      <c r="B123">
        <v>125</v>
      </c>
      <c r="C123">
        <v>272</v>
      </c>
      <c r="D123">
        <v>0</v>
      </c>
      <c r="E123">
        <v>139</v>
      </c>
      <c r="F123">
        <v>0</v>
      </c>
      <c r="G123">
        <v>0</v>
      </c>
    </row>
    <row r="124" spans="1:7" x14ac:dyDescent="0.3">
      <c r="A124">
        <v>46</v>
      </c>
      <c r="B124">
        <v>110</v>
      </c>
      <c r="C124">
        <v>240</v>
      </c>
      <c r="D124">
        <v>0</v>
      </c>
      <c r="E124">
        <v>140</v>
      </c>
      <c r="F124">
        <v>0</v>
      </c>
      <c r="G124">
        <v>0</v>
      </c>
    </row>
    <row r="125" spans="1:7" x14ac:dyDescent="0.3">
      <c r="A125">
        <v>58</v>
      </c>
      <c r="B125">
        <v>180</v>
      </c>
      <c r="C125">
        <v>393</v>
      </c>
      <c r="D125">
        <v>0</v>
      </c>
      <c r="E125">
        <v>110</v>
      </c>
      <c r="F125">
        <v>1</v>
      </c>
      <c r="G125">
        <v>1</v>
      </c>
    </row>
    <row r="126" spans="1:7" x14ac:dyDescent="0.3">
      <c r="A126">
        <v>58</v>
      </c>
      <c r="B126">
        <v>130</v>
      </c>
      <c r="C126">
        <v>230</v>
      </c>
      <c r="D126">
        <v>0</v>
      </c>
      <c r="E126">
        <v>150</v>
      </c>
      <c r="F126">
        <v>0</v>
      </c>
      <c r="G126">
        <v>0</v>
      </c>
    </row>
    <row r="127" spans="1:7" x14ac:dyDescent="0.3">
      <c r="A127">
        <v>54</v>
      </c>
      <c r="B127">
        <v>120</v>
      </c>
      <c r="C127">
        <v>246</v>
      </c>
      <c r="D127">
        <v>0</v>
      </c>
      <c r="E127">
        <v>110</v>
      </c>
      <c r="F127">
        <v>0</v>
      </c>
      <c r="G127">
        <v>0</v>
      </c>
    </row>
    <row r="128" spans="1:7" x14ac:dyDescent="0.3">
      <c r="A128">
        <v>34</v>
      </c>
      <c r="B128">
        <v>130</v>
      </c>
      <c r="C128">
        <v>161</v>
      </c>
      <c r="D128">
        <v>0</v>
      </c>
      <c r="E128">
        <v>190</v>
      </c>
      <c r="F128">
        <v>0</v>
      </c>
      <c r="G128">
        <v>0</v>
      </c>
    </row>
    <row r="129" spans="1:7" x14ac:dyDescent="0.3">
      <c r="A129">
        <v>48</v>
      </c>
      <c r="B129">
        <v>108</v>
      </c>
      <c r="C129">
        <v>163</v>
      </c>
      <c r="D129">
        <v>0</v>
      </c>
      <c r="E129">
        <v>175</v>
      </c>
      <c r="F129">
        <v>2</v>
      </c>
      <c r="G129">
        <v>0</v>
      </c>
    </row>
    <row r="130" spans="1:7" x14ac:dyDescent="0.3">
      <c r="A130">
        <v>54</v>
      </c>
      <c r="B130">
        <v>120</v>
      </c>
      <c r="C130">
        <v>230</v>
      </c>
      <c r="D130">
        <v>1</v>
      </c>
      <c r="E130">
        <v>140</v>
      </c>
      <c r="F130">
        <v>0</v>
      </c>
      <c r="G130">
        <v>0</v>
      </c>
    </row>
    <row r="131" spans="1:7" x14ac:dyDescent="0.3">
      <c r="A131">
        <v>42</v>
      </c>
      <c r="B131">
        <v>120</v>
      </c>
      <c r="C131">
        <v>228</v>
      </c>
      <c r="D131">
        <v>0</v>
      </c>
      <c r="E131">
        <v>152</v>
      </c>
      <c r="F131">
        <v>1.5</v>
      </c>
      <c r="G131">
        <v>0</v>
      </c>
    </row>
    <row r="132" spans="1:7" x14ac:dyDescent="0.3">
      <c r="A132">
        <v>38</v>
      </c>
      <c r="B132">
        <v>145</v>
      </c>
      <c r="C132">
        <v>292</v>
      </c>
      <c r="D132">
        <v>0</v>
      </c>
      <c r="E132">
        <v>130</v>
      </c>
      <c r="F132">
        <v>0</v>
      </c>
      <c r="G132">
        <v>0</v>
      </c>
    </row>
    <row r="133" spans="1:7" x14ac:dyDescent="0.3">
      <c r="A133">
        <v>46</v>
      </c>
      <c r="B133">
        <v>110</v>
      </c>
      <c r="C133">
        <v>202</v>
      </c>
      <c r="D133">
        <v>0</v>
      </c>
      <c r="E133">
        <v>150</v>
      </c>
      <c r="F133">
        <v>0</v>
      </c>
      <c r="G133">
        <v>1</v>
      </c>
    </row>
    <row r="134" spans="1:7" x14ac:dyDescent="0.3">
      <c r="A134">
        <v>56</v>
      </c>
      <c r="B134">
        <v>170</v>
      </c>
      <c r="C134">
        <v>388</v>
      </c>
      <c r="D134">
        <v>0</v>
      </c>
      <c r="E134">
        <v>122</v>
      </c>
      <c r="F134">
        <v>2</v>
      </c>
      <c r="G134">
        <v>1</v>
      </c>
    </row>
    <row r="135" spans="1:7" x14ac:dyDescent="0.3">
      <c r="A135">
        <v>56</v>
      </c>
      <c r="B135">
        <v>150</v>
      </c>
      <c r="C135">
        <v>230</v>
      </c>
      <c r="D135">
        <v>0</v>
      </c>
      <c r="E135">
        <v>124</v>
      </c>
      <c r="F135">
        <v>1.5</v>
      </c>
      <c r="G135">
        <v>1</v>
      </c>
    </row>
    <row r="136" spans="1:7" x14ac:dyDescent="0.3">
      <c r="A136">
        <v>61</v>
      </c>
      <c r="B136">
        <v>130</v>
      </c>
      <c r="C136">
        <v>294</v>
      </c>
      <c r="D136">
        <v>0</v>
      </c>
      <c r="E136">
        <v>120</v>
      </c>
      <c r="F136">
        <v>1</v>
      </c>
      <c r="G136">
        <v>0</v>
      </c>
    </row>
    <row r="137" spans="1:7" x14ac:dyDescent="0.3">
      <c r="A137">
        <v>49</v>
      </c>
      <c r="B137">
        <v>115</v>
      </c>
      <c r="C137">
        <v>265</v>
      </c>
      <c r="D137">
        <v>0</v>
      </c>
      <c r="E137">
        <v>175</v>
      </c>
      <c r="F137">
        <v>0</v>
      </c>
      <c r="G137">
        <v>1</v>
      </c>
    </row>
    <row r="138" spans="1:7" x14ac:dyDescent="0.3">
      <c r="A138">
        <v>43</v>
      </c>
      <c r="B138">
        <v>120</v>
      </c>
      <c r="C138">
        <v>215</v>
      </c>
      <c r="D138">
        <v>0</v>
      </c>
      <c r="E138">
        <v>175</v>
      </c>
      <c r="F138">
        <v>0</v>
      </c>
      <c r="G138">
        <v>0</v>
      </c>
    </row>
    <row r="139" spans="1:7" x14ac:dyDescent="0.3">
      <c r="A139">
        <v>39</v>
      </c>
      <c r="B139">
        <v>120</v>
      </c>
      <c r="C139">
        <v>241</v>
      </c>
      <c r="D139">
        <v>0</v>
      </c>
      <c r="E139">
        <v>146</v>
      </c>
      <c r="F139">
        <v>2</v>
      </c>
      <c r="G139">
        <v>0</v>
      </c>
    </row>
    <row r="140" spans="1:7" x14ac:dyDescent="0.3">
      <c r="A140">
        <v>54</v>
      </c>
      <c r="B140">
        <v>140</v>
      </c>
      <c r="C140">
        <v>166</v>
      </c>
      <c r="D140">
        <v>0</v>
      </c>
      <c r="E140">
        <v>118</v>
      </c>
      <c r="F140">
        <v>0</v>
      </c>
      <c r="G140">
        <v>1</v>
      </c>
    </row>
    <row r="141" spans="1:7" x14ac:dyDescent="0.3">
      <c r="A141">
        <v>43</v>
      </c>
      <c r="B141">
        <v>150</v>
      </c>
      <c r="C141">
        <v>247</v>
      </c>
      <c r="D141">
        <v>0</v>
      </c>
      <c r="E141">
        <v>130</v>
      </c>
      <c r="F141">
        <v>2</v>
      </c>
      <c r="G141">
        <v>1</v>
      </c>
    </row>
    <row r="142" spans="1:7" x14ac:dyDescent="0.3">
      <c r="A142">
        <v>52</v>
      </c>
      <c r="B142">
        <v>160</v>
      </c>
      <c r="C142">
        <v>331</v>
      </c>
      <c r="D142">
        <v>0</v>
      </c>
      <c r="E142">
        <v>94</v>
      </c>
      <c r="F142">
        <v>2.5</v>
      </c>
      <c r="G142">
        <v>1</v>
      </c>
    </row>
    <row r="143" spans="1:7" x14ac:dyDescent="0.3">
      <c r="A143">
        <v>50</v>
      </c>
      <c r="B143">
        <v>140</v>
      </c>
      <c r="C143">
        <v>341</v>
      </c>
      <c r="D143">
        <v>0</v>
      </c>
      <c r="E143">
        <v>125</v>
      </c>
      <c r="F143">
        <v>2.5</v>
      </c>
      <c r="G143">
        <v>1</v>
      </c>
    </row>
    <row r="144" spans="1:7" x14ac:dyDescent="0.3">
      <c r="A144">
        <v>47</v>
      </c>
      <c r="B144">
        <v>160</v>
      </c>
      <c r="C144">
        <v>291</v>
      </c>
      <c r="D144">
        <v>0</v>
      </c>
      <c r="E144">
        <v>158</v>
      </c>
      <c r="F144">
        <v>3</v>
      </c>
      <c r="G144">
        <v>1</v>
      </c>
    </row>
    <row r="145" spans="1:7" x14ac:dyDescent="0.3">
      <c r="A145">
        <v>53</v>
      </c>
      <c r="B145">
        <v>140</v>
      </c>
      <c r="C145">
        <v>243</v>
      </c>
      <c r="D145">
        <v>0</v>
      </c>
      <c r="E145">
        <v>155</v>
      </c>
      <c r="F145">
        <v>0</v>
      </c>
      <c r="G145">
        <v>0</v>
      </c>
    </row>
    <row r="146" spans="1:7" x14ac:dyDescent="0.3">
      <c r="A146">
        <v>56</v>
      </c>
      <c r="B146">
        <v>120</v>
      </c>
      <c r="C146">
        <v>279</v>
      </c>
      <c r="D146">
        <v>0</v>
      </c>
      <c r="E146">
        <v>150</v>
      </c>
      <c r="F146">
        <v>1</v>
      </c>
      <c r="G146">
        <v>1</v>
      </c>
    </row>
    <row r="147" spans="1:7" x14ac:dyDescent="0.3">
      <c r="A147">
        <v>39</v>
      </c>
      <c r="B147">
        <v>110</v>
      </c>
      <c r="C147">
        <v>273</v>
      </c>
      <c r="D147">
        <v>0</v>
      </c>
      <c r="E147">
        <v>132</v>
      </c>
      <c r="F147">
        <v>0</v>
      </c>
      <c r="G147">
        <v>0</v>
      </c>
    </row>
    <row r="148" spans="1:7" x14ac:dyDescent="0.3">
      <c r="A148">
        <v>42</v>
      </c>
      <c r="B148">
        <v>120</v>
      </c>
      <c r="C148">
        <v>198</v>
      </c>
      <c r="D148">
        <v>0</v>
      </c>
      <c r="E148">
        <v>155</v>
      </c>
      <c r="F148">
        <v>0</v>
      </c>
      <c r="G148">
        <v>0</v>
      </c>
    </row>
    <row r="149" spans="1:7" x14ac:dyDescent="0.3">
      <c r="A149">
        <v>43</v>
      </c>
      <c r="B149">
        <v>120</v>
      </c>
      <c r="C149">
        <v>249</v>
      </c>
      <c r="D149">
        <v>0</v>
      </c>
      <c r="E149">
        <v>176</v>
      </c>
      <c r="F149">
        <v>0</v>
      </c>
      <c r="G149">
        <v>0</v>
      </c>
    </row>
    <row r="150" spans="1:7" x14ac:dyDescent="0.3">
      <c r="A150">
        <v>50</v>
      </c>
      <c r="B150">
        <v>120</v>
      </c>
      <c r="C150">
        <v>168</v>
      </c>
      <c r="D150">
        <v>0</v>
      </c>
      <c r="E150">
        <v>160</v>
      </c>
      <c r="F150">
        <v>0</v>
      </c>
      <c r="G150">
        <v>0</v>
      </c>
    </row>
    <row r="151" spans="1:7" x14ac:dyDescent="0.3">
      <c r="A151">
        <v>54</v>
      </c>
      <c r="B151">
        <v>130</v>
      </c>
      <c r="C151">
        <v>603</v>
      </c>
      <c r="D151">
        <v>1</v>
      </c>
      <c r="E151">
        <v>125</v>
      </c>
      <c r="F151">
        <v>1</v>
      </c>
      <c r="G151">
        <v>1</v>
      </c>
    </row>
    <row r="152" spans="1:7" x14ac:dyDescent="0.3">
      <c r="A152">
        <v>39</v>
      </c>
      <c r="B152">
        <v>130</v>
      </c>
      <c r="C152">
        <v>215</v>
      </c>
      <c r="D152">
        <v>0</v>
      </c>
      <c r="E152">
        <v>120</v>
      </c>
      <c r="F152">
        <v>0</v>
      </c>
      <c r="G152">
        <v>0</v>
      </c>
    </row>
    <row r="153" spans="1:7" x14ac:dyDescent="0.3">
      <c r="A153">
        <v>48</v>
      </c>
      <c r="B153">
        <v>100</v>
      </c>
      <c r="C153">
        <v>159</v>
      </c>
      <c r="D153">
        <v>0</v>
      </c>
      <c r="E153">
        <v>100</v>
      </c>
      <c r="F153">
        <v>0</v>
      </c>
      <c r="G153">
        <v>0</v>
      </c>
    </row>
    <row r="154" spans="1:7" x14ac:dyDescent="0.3">
      <c r="A154">
        <v>40</v>
      </c>
      <c r="B154">
        <v>130</v>
      </c>
      <c r="C154">
        <v>275</v>
      </c>
      <c r="D154">
        <v>0</v>
      </c>
      <c r="E154">
        <v>150</v>
      </c>
      <c r="F154">
        <v>0</v>
      </c>
      <c r="G154">
        <v>0</v>
      </c>
    </row>
    <row r="155" spans="1:7" x14ac:dyDescent="0.3">
      <c r="A155">
        <v>55</v>
      </c>
      <c r="B155">
        <v>120</v>
      </c>
      <c r="C155">
        <v>270</v>
      </c>
      <c r="D155">
        <v>0</v>
      </c>
      <c r="E155">
        <v>140</v>
      </c>
      <c r="F155">
        <v>0</v>
      </c>
      <c r="G155">
        <v>0</v>
      </c>
    </row>
    <row r="156" spans="1:7" x14ac:dyDescent="0.3">
      <c r="A156">
        <v>41</v>
      </c>
      <c r="B156">
        <v>120</v>
      </c>
      <c r="C156">
        <v>291</v>
      </c>
      <c r="D156">
        <v>0</v>
      </c>
      <c r="E156">
        <v>160</v>
      </c>
      <c r="F156">
        <v>0</v>
      </c>
      <c r="G156">
        <v>0</v>
      </c>
    </row>
    <row r="157" spans="1:7" x14ac:dyDescent="0.3">
      <c r="A157">
        <v>56</v>
      </c>
      <c r="B157">
        <v>155</v>
      </c>
      <c r="C157">
        <v>342</v>
      </c>
      <c r="D157">
        <v>1</v>
      </c>
      <c r="E157">
        <v>150</v>
      </c>
      <c r="F157">
        <v>3</v>
      </c>
      <c r="G157">
        <v>1</v>
      </c>
    </row>
    <row r="158" spans="1:7" x14ac:dyDescent="0.3">
      <c r="A158">
        <v>38</v>
      </c>
      <c r="B158">
        <v>110</v>
      </c>
      <c r="C158">
        <v>190</v>
      </c>
      <c r="D158">
        <v>0</v>
      </c>
      <c r="E158">
        <v>150</v>
      </c>
      <c r="F158">
        <v>1</v>
      </c>
      <c r="G158">
        <v>1</v>
      </c>
    </row>
    <row r="159" spans="1:7" x14ac:dyDescent="0.3">
      <c r="A159">
        <v>49</v>
      </c>
      <c r="B159">
        <v>140</v>
      </c>
      <c r="C159">
        <v>185</v>
      </c>
      <c r="D159">
        <v>0</v>
      </c>
      <c r="E159">
        <v>130</v>
      </c>
      <c r="F159">
        <v>0</v>
      </c>
      <c r="G159">
        <v>0</v>
      </c>
    </row>
    <row r="160" spans="1:7" x14ac:dyDescent="0.3">
      <c r="A160">
        <v>44</v>
      </c>
      <c r="B160">
        <v>130</v>
      </c>
      <c r="C160">
        <v>290</v>
      </c>
      <c r="D160">
        <v>0</v>
      </c>
      <c r="E160">
        <v>100</v>
      </c>
      <c r="F160">
        <v>2</v>
      </c>
      <c r="G160">
        <v>1</v>
      </c>
    </row>
    <row r="161" spans="1:7" x14ac:dyDescent="0.3">
      <c r="A161">
        <v>54</v>
      </c>
      <c r="B161">
        <v>160</v>
      </c>
      <c r="C161">
        <v>195</v>
      </c>
      <c r="D161">
        <v>0</v>
      </c>
      <c r="E161">
        <v>130</v>
      </c>
      <c r="F161">
        <v>1</v>
      </c>
      <c r="G161">
        <v>0</v>
      </c>
    </row>
    <row r="162" spans="1:7" x14ac:dyDescent="0.3">
      <c r="A162">
        <v>59</v>
      </c>
      <c r="B162">
        <v>140</v>
      </c>
      <c r="C162">
        <v>264</v>
      </c>
      <c r="D162">
        <v>1</v>
      </c>
      <c r="E162">
        <v>119</v>
      </c>
      <c r="F162">
        <v>0</v>
      </c>
      <c r="G162">
        <v>1</v>
      </c>
    </row>
    <row r="163" spans="1:7" x14ac:dyDescent="0.3">
      <c r="A163">
        <v>49</v>
      </c>
      <c r="B163">
        <v>128</v>
      </c>
      <c r="C163">
        <v>212</v>
      </c>
      <c r="D163">
        <v>0</v>
      </c>
      <c r="E163">
        <v>96</v>
      </c>
      <c r="F163">
        <v>0</v>
      </c>
      <c r="G163">
        <v>1</v>
      </c>
    </row>
    <row r="164" spans="1:7" x14ac:dyDescent="0.3">
      <c r="A164">
        <v>47</v>
      </c>
      <c r="B164">
        <v>160</v>
      </c>
      <c r="C164">
        <v>263</v>
      </c>
      <c r="D164">
        <v>0</v>
      </c>
      <c r="E164">
        <v>174</v>
      </c>
      <c r="F164">
        <v>0</v>
      </c>
      <c r="G164">
        <v>0</v>
      </c>
    </row>
    <row r="165" spans="1:7" x14ac:dyDescent="0.3">
      <c r="A165">
        <v>42</v>
      </c>
      <c r="B165">
        <v>120</v>
      </c>
      <c r="C165">
        <v>196</v>
      </c>
      <c r="D165">
        <v>0</v>
      </c>
      <c r="E165">
        <v>150</v>
      </c>
      <c r="F165">
        <v>0</v>
      </c>
      <c r="G165">
        <v>0</v>
      </c>
    </row>
    <row r="166" spans="1:7" x14ac:dyDescent="0.3">
      <c r="A166">
        <v>52</v>
      </c>
      <c r="B166">
        <v>140</v>
      </c>
      <c r="C166">
        <v>225</v>
      </c>
      <c r="D166">
        <v>0</v>
      </c>
      <c r="E166">
        <v>140</v>
      </c>
      <c r="F166">
        <v>0</v>
      </c>
      <c r="G166">
        <v>0</v>
      </c>
    </row>
    <row r="167" spans="1:7" x14ac:dyDescent="0.3">
      <c r="A167">
        <v>46</v>
      </c>
      <c r="B167">
        <v>140</v>
      </c>
      <c r="C167">
        <v>272</v>
      </c>
      <c r="D167">
        <v>1</v>
      </c>
      <c r="E167">
        <v>175</v>
      </c>
      <c r="F167">
        <v>2</v>
      </c>
      <c r="G167">
        <v>1</v>
      </c>
    </row>
    <row r="168" spans="1:7" x14ac:dyDescent="0.3">
      <c r="A168">
        <v>50</v>
      </c>
      <c r="B168">
        <v>140</v>
      </c>
      <c r="C168">
        <v>231</v>
      </c>
      <c r="D168">
        <v>0</v>
      </c>
      <c r="E168">
        <v>140</v>
      </c>
      <c r="F168">
        <v>5</v>
      </c>
      <c r="G168">
        <v>1</v>
      </c>
    </row>
    <row r="169" spans="1:7" x14ac:dyDescent="0.3">
      <c r="A169">
        <v>48</v>
      </c>
      <c r="B169">
        <v>140</v>
      </c>
      <c r="C169">
        <v>238</v>
      </c>
      <c r="D169">
        <v>0</v>
      </c>
      <c r="E169">
        <v>118</v>
      </c>
      <c r="F169">
        <v>0</v>
      </c>
      <c r="G169">
        <v>0</v>
      </c>
    </row>
    <row r="170" spans="1:7" x14ac:dyDescent="0.3">
      <c r="A170">
        <v>58</v>
      </c>
      <c r="B170">
        <v>135</v>
      </c>
      <c r="C170">
        <v>222</v>
      </c>
      <c r="D170">
        <v>0</v>
      </c>
      <c r="E170">
        <v>100</v>
      </c>
      <c r="F170">
        <v>0</v>
      </c>
      <c r="G170">
        <v>0</v>
      </c>
    </row>
    <row r="171" spans="1:7" x14ac:dyDescent="0.3">
      <c r="A171">
        <v>58</v>
      </c>
      <c r="B171">
        <v>140</v>
      </c>
      <c r="C171">
        <v>179</v>
      </c>
      <c r="D171">
        <v>0</v>
      </c>
      <c r="E171">
        <v>160</v>
      </c>
      <c r="F171">
        <v>0</v>
      </c>
      <c r="G171">
        <v>0</v>
      </c>
    </row>
    <row r="172" spans="1:7" x14ac:dyDescent="0.3">
      <c r="A172">
        <v>29</v>
      </c>
      <c r="B172">
        <v>120</v>
      </c>
      <c r="C172">
        <v>243</v>
      </c>
      <c r="D172">
        <v>0</v>
      </c>
      <c r="E172">
        <v>160</v>
      </c>
      <c r="F172">
        <v>0</v>
      </c>
      <c r="G172">
        <v>0</v>
      </c>
    </row>
    <row r="173" spans="1:7" x14ac:dyDescent="0.3">
      <c r="A173">
        <v>40</v>
      </c>
      <c r="B173">
        <v>140</v>
      </c>
      <c r="C173">
        <v>235</v>
      </c>
      <c r="D173">
        <v>0</v>
      </c>
      <c r="E173">
        <v>188</v>
      </c>
      <c r="F173">
        <v>0</v>
      </c>
      <c r="G173">
        <v>0</v>
      </c>
    </row>
    <row r="174" spans="1:7" x14ac:dyDescent="0.3">
      <c r="A174">
        <v>53</v>
      </c>
      <c r="B174">
        <v>140</v>
      </c>
      <c r="C174">
        <v>320</v>
      </c>
      <c r="D174">
        <v>0</v>
      </c>
      <c r="E174">
        <v>162</v>
      </c>
      <c r="F174">
        <v>0</v>
      </c>
      <c r="G174">
        <v>0</v>
      </c>
    </row>
    <row r="175" spans="1:7" x14ac:dyDescent="0.3">
      <c r="A175">
        <v>49</v>
      </c>
      <c r="B175">
        <v>140</v>
      </c>
      <c r="C175">
        <v>187</v>
      </c>
      <c r="D175">
        <v>0</v>
      </c>
      <c r="E175">
        <v>172</v>
      </c>
      <c r="F175">
        <v>0</v>
      </c>
      <c r="G175">
        <v>0</v>
      </c>
    </row>
    <row r="176" spans="1:7" x14ac:dyDescent="0.3">
      <c r="A176">
        <v>52</v>
      </c>
      <c r="B176">
        <v>140</v>
      </c>
      <c r="C176">
        <v>266</v>
      </c>
      <c r="D176">
        <v>0</v>
      </c>
      <c r="E176">
        <v>134</v>
      </c>
      <c r="F176">
        <v>2</v>
      </c>
      <c r="G176">
        <v>1</v>
      </c>
    </row>
    <row r="177" spans="1:7" x14ac:dyDescent="0.3">
      <c r="A177">
        <v>43</v>
      </c>
      <c r="B177">
        <v>140</v>
      </c>
      <c r="C177">
        <v>288</v>
      </c>
      <c r="D177">
        <v>0</v>
      </c>
      <c r="E177">
        <v>135</v>
      </c>
      <c r="F177">
        <v>2</v>
      </c>
      <c r="G177">
        <v>1</v>
      </c>
    </row>
    <row r="178" spans="1:7" x14ac:dyDescent="0.3">
      <c r="A178">
        <v>54</v>
      </c>
      <c r="B178">
        <v>140</v>
      </c>
      <c r="C178">
        <v>216</v>
      </c>
      <c r="D178">
        <v>0</v>
      </c>
      <c r="E178">
        <v>105</v>
      </c>
      <c r="F178">
        <v>1.5</v>
      </c>
      <c r="G178">
        <v>1</v>
      </c>
    </row>
    <row r="179" spans="1:7" x14ac:dyDescent="0.3">
      <c r="A179">
        <v>59</v>
      </c>
      <c r="B179">
        <v>140</v>
      </c>
      <c r="C179">
        <v>287</v>
      </c>
      <c r="D179">
        <v>0</v>
      </c>
      <c r="E179">
        <v>150</v>
      </c>
      <c r="F179">
        <v>0</v>
      </c>
      <c r="G179">
        <v>0</v>
      </c>
    </row>
    <row r="180" spans="1:7" x14ac:dyDescent="0.3">
      <c r="A180">
        <v>37</v>
      </c>
      <c r="B180">
        <v>130</v>
      </c>
      <c r="C180">
        <v>194</v>
      </c>
      <c r="D180">
        <v>0</v>
      </c>
      <c r="E180">
        <v>150</v>
      </c>
      <c r="F180">
        <v>0</v>
      </c>
      <c r="G180">
        <v>0</v>
      </c>
    </row>
    <row r="181" spans="1:7" x14ac:dyDescent="0.3">
      <c r="A181">
        <v>46</v>
      </c>
      <c r="B181">
        <v>130</v>
      </c>
      <c r="C181">
        <v>238</v>
      </c>
      <c r="D181">
        <v>0</v>
      </c>
      <c r="E181">
        <v>90</v>
      </c>
      <c r="F181">
        <v>0</v>
      </c>
      <c r="G181">
        <v>0</v>
      </c>
    </row>
    <row r="182" spans="1:7" x14ac:dyDescent="0.3">
      <c r="A182">
        <v>52</v>
      </c>
      <c r="B182">
        <v>130</v>
      </c>
      <c r="C182">
        <v>225</v>
      </c>
      <c r="D182">
        <v>0</v>
      </c>
      <c r="E182">
        <v>120</v>
      </c>
      <c r="F182">
        <v>2</v>
      </c>
      <c r="G182">
        <v>1</v>
      </c>
    </row>
    <row r="183" spans="1:7" x14ac:dyDescent="0.3">
      <c r="A183">
        <v>51</v>
      </c>
      <c r="B183">
        <v>130</v>
      </c>
      <c r="C183">
        <v>224</v>
      </c>
      <c r="D183">
        <v>0</v>
      </c>
      <c r="E183">
        <v>150</v>
      </c>
      <c r="F183">
        <v>0</v>
      </c>
      <c r="G183">
        <v>0</v>
      </c>
    </row>
    <row r="184" spans="1:7" x14ac:dyDescent="0.3">
      <c r="A184">
        <v>52</v>
      </c>
      <c r="B184">
        <v>140</v>
      </c>
      <c r="C184">
        <v>404</v>
      </c>
      <c r="D184">
        <v>0</v>
      </c>
      <c r="E184">
        <v>124</v>
      </c>
      <c r="F184">
        <v>2</v>
      </c>
      <c r="G184">
        <v>1</v>
      </c>
    </row>
    <row r="185" spans="1:7" x14ac:dyDescent="0.3">
      <c r="A185">
        <v>46</v>
      </c>
      <c r="B185">
        <v>110</v>
      </c>
      <c r="C185">
        <v>238</v>
      </c>
      <c r="D185">
        <v>0</v>
      </c>
      <c r="E185">
        <v>140</v>
      </c>
      <c r="F185">
        <v>1</v>
      </c>
      <c r="G185">
        <v>0</v>
      </c>
    </row>
    <row r="186" spans="1:7" x14ac:dyDescent="0.3">
      <c r="A186">
        <v>54</v>
      </c>
      <c r="B186">
        <v>160</v>
      </c>
      <c r="C186">
        <v>312</v>
      </c>
      <c r="D186">
        <v>0</v>
      </c>
      <c r="E186">
        <v>130</v>
      </c>
      <c r="F186">
        <v>0</v>
      </c>
      <c r="G186">
        <v>0</v>
      </c>
    </row>
    <row r="187" spans="1:7" x14ac:dyDescent="0.3">
      <c r="A187">
        <v>58</v>
      </c>
      <c r="B187">
        <v>160</v>
      </c>
      <c r="C187">
        <v>211</v>
      </c>
      <c r="D187">
        <v>1</v>
      </c>
      <c r="E187">
        <v>92</v>
      </c>
      <c r="F187">
        <v>0</v>
      </c>
      <c r="G187">
        <v>1</v>
      </c>
    </row>
    <row r="188" spans="1:7" x14ac:dyDescent="0.3">
      <c r="A188">
        <v>58</v>
      </c>
      <c r="B188">
        <v>130</v>
      </c>
      <c r="C188">
        <v>251</v>
      </c>
      <c r="D188">
        <v>0</v>
      </c>
      <c r="E188">
        <v>110</v>
      </c>
      <c r="F188">
        <v>0</v>
      </c>
      <c r="G188">
        <v>0</v>
      </c>
    </row>
    <row r="189" spans="1:7" x14ac:dyDescent="0.3">
      <c r="A189">
        <v>41</v>
      </c>
      <c r="B189">
        <v>120</v>
      </c>
      <c r="C189">
        <v>237</v>
      </c>
      <c r="D189">
        <v>1</v>
      </c>
      <c r="E189">
        <v>138</v>
      </c>
      <c r="F189">
        <v>1</v>
      </c>
      <c r="G189">
        <v>1</v>
      </c>
    </row>
    <row r="190" spans="1:7" x14ac:dyDescent="0.3">
      <c r="A190">
        <v>50</v>
      </c>
      <c r="B190">
        <v>120</v>
      </c>
      <c r="C190">
        <v>328</v>
      </c>
      <c r="D190">
        <v>0</v>
      </c>
      <c r="E190">
        <v>110</v>
      </c>
      <c r="F190">
        <v>1</v>
      </c>
      <c r="G190">
        <v>0</v>
      </c>
    </row>
    <row r="191" spans="1:7" x14ac:dyDescent="0.3">
      <c r="A191">
        <v>53</v>
      </c>
      <c r="B191">
        <v>180</v>
      </c>
      <c r="C191">
        <v>285</v>
      </c>
      <c r="D191">
        <v>0</v>
      </c>
      <c r="E191">
        <v>120</v>
      </c>
      <c r="F191">
        <v>1.5</v>
      </c>
      <c r="G191">
        <v>1</v>
      </c>
    </row>
    <row r="192" spans="1:7" x14ac:dyDescent="0.3">
      <c r="A192">
        <v>46</v>
      </c>
      <c r="B192">
        <v>180</v>
      </c>
      <c r="C192">
        <v>280</v>
      </c>
      <c r="D192">
        <v>0</v>
      </c>
      <c r="E192">
        <v>120</v>
      </c>
      <c r="F192">
        <v>0</v>
      </c>
      <c r="G192">
        <v>0</v>
      </c>
    </row>
    <row r="193" spans="1:7" x14ac:dyDescent="0.3">
      <c r="A193">
        <v>50</v>
      </c>
      <c r="B193">
        <v>170</v>
      </c>
      <c r="C193">
        <v>209</v>
      </c>
      <c r="D193">
        <v>0</v>
      </c>
      <c r="E193">
        <v>116</v>
      </c>
      <c r="F193">
        <v>0</v>
      </c>
      <c r="G193">
        <v>0</v>
      </c>
    </row>
    <row r="194" spans="1:7" x14ac:dyDescent="0.3">
      <c r="A194">
        <v>48</v>
      </c>
      <c r="B194">
        <v>130</v>
      </c>
      <c r="C194">
        <v>245</v>
      </c>
      <c r="D194">
        <v>0</v>
      </c>
      <c r="E194">
        <v>160</v>
      </c>
      <c r="F194">
        <v>0</v>
      </c>
      <c r="G194">
        <v>0</v>
      </c>
    </row>
    <row r="195" spans="1:7" x14ac:dyDescent="0.3">
      <c r="A195">
        <v>45</v>
      </c>
      <c r="B195">
        <v>135</v>
      </c>
      <c r="C195">
        <v>192</v>
      </c>
      <c r="D195">
        <v>0</v>
      </c>
      <c r="E195">
        <v>110</v>
      </c>
      <c r="F195">
        <v>0</v>
      </c>
      <c r="G195">
        <v>0</v>
      </c>
    </row>
    <row r="196" spans="1:7" x14ac:dyDescent="0.3">
      <c r="A196">
        <v>41</v>
      </c>
      <c r="B196">
        <v>125</v>
      </c>
      <c r="C196">
        <v>184</v>
      </c>
      <c r="D196">
        <v>0</v>
      </c>
      <c r="E196">
        <v>180</v>
      </c>
      <c r="F196">
        <v>0</v>
      </c>
      <c r="G196">
        <v>0</v>
      </c>
    </row>
    <row r="197" spans="1:7" x14ac:dyDescent="0.3">
      <c r="A197">
        <v>62</v>
      </c>
      <c r="B197">
        <v>160</v>
      </c>
      <c r="C197">
        <v>193</v>
      </c>
      <c r="D197">
        <v>0</v>
      </c>
      <c r="E197">
        <v>116</v>
      </c>
      <c r="F197">
        <v>0</v>
      </c>
      <c r="G197">
        <v>0</v>
      </c>
    </row>
    <row r="198" spans="1:7" x14ac:dyDescent="0.3">
      <c r="A198">
        <v>49</v>
      </c>
      <c r="B198">
        <v>120</v>
      </c>
      <c r="C198">
        <v>297</v>
      </c>
      <c r="D198">
        <v>0</v>
      </c>
      <c r="E198">
        <v>132</v>
      </c>
      <c r="F198">
        <v>1</v>
      </c>
      <c r="G198">
        <v>0</v>
      </c>
    </row>
    <row r="199" spans="1:7" x14ac:dyDescent="0.3">
      <c r="A199">
        <v>42</v>
      </c>
      <c r="B199">
        <v>150</v>
      </c>
      <c r="C199">
        <v>268</v>
      </c>
      <c r="D199">
        <v>0</v>
      </c>
      <c r="E199">
        <v>136</v>
      </c>
      <c r="F199">
        <v>0</v>
      </c>
      <c r="G199">
        <v>0</v>
      </c>
    </row>
    <row r="200" spans="1:7" x14ac:dyDescent="0.3">
      <c r="A200">
        <v>53</v>
      </c>
      <c r="B200">
        <v>120</v>
      </c>
      <c r="C200">
        <v>246</v>
      </c>
      <c r="D200">
        <v>0</v>
      </c>
      <c r="E200">
        <v>116</v>
      </c>
      <c r="F200">
        <v>0</v>
      </c>
      <c r="G200">
        <v>1</v>
      </c>
    </row>
    <row r="201" spans="1:7" x14ac:dyDescent="0.3">
      <c r="A201">
        <v>57</v>
      </c>
      <c r="B201">
        <v>130</v>
      </c>
      <c r="C201">
        <v>308</v>
      </c>
      <c r="D201">
        <v>0</v>
      </c>
      <c r="E201">
        <v>98</v>
      </c>
      <c r="F201">
        <v>1</v>
      </c>
      <c r="G201">
        <v>0</v>
      </c>
    </row>
    <row r="202" spans="1:7" x14ac:dyDescent="0.3">
      <c r="A202">
        <v>47</v>
      </c>
      <c r="B202">
        <v>110</v>
      </c>
      <c r="C202">
        <v>249</v>
      </c>
      <c r="D202">
        <v>0</v>
      </c>
      <c r="E202">
        <v>150</v>
      </c>
      <c r="F202">
        <v>0</v>
      </c>
      <c r="G202">
        <v>0</v>
      </c>
    </row>
    <row r="203" spans="1:7" x14ac:dyDescent="0.3">
      <c r="A203">
        <v>46</v>
      </c>
      <c r="B203">
        <v>120</v>
      </c>
      <c r="C203">
        <v>230</v>
      </c>
      <c r="D203">
        <v>0</v>
      </c>
      <c r="E203">
        <v>150</v>
      </c>
      <c r="F203">
        <v>0</v>
      </c>
      <c r="G203">
        <v>0</v>
      </c>
    </row>
    <row r="204" spans="1:7" x14ac:dyDescent="0.3">
      <c r="A204">
        <v>42</v>
      </c>
      <c r="B204">
        <v>160</v>
      </c>
      <c r="C204">
        <v>147</v>
      </c>
      <c r="D204">
        <v>0</v>
      </c>
      <c r="E204">
        <v>146</v>
      </c>
      <c r="F204">
        <v>0</v>
      </c>
      <c r="G204">
        <v>0</v>
      </c>
    </row>
    <row r="205" spans="1:7" x14ac:dyDescent="0.3">
      <c r="A205">
        <v>31</v>
      </c>
      <c r="B205">
        <v>100</v>
      </c>
      <c r="C205">
        <v>219</v>
      </c>
      <c r="D205">
        <v>0</v>
      </c>
      <c r="E205">
        <v>150</v>
      </c>
      <c r="F205">
        <v>0</v>
      </c>
      <c r="G205">
        <v>0</v>
      </c>
    </row>
    <row r="206" spans="1:7" x14ac:dyDescent="0.3">
      <c r="A206">
        <v>56</v>
      </c>
      <c r="B206">
        <v>130</v>
      </c>
      <c r="C206">
        <v>184</v>
      </c>
      <c r="D206">
        <v>0</v>
      </c>
      <c r="E206">
        <v>100</v>
      </c>
      <c r="F206">
        <v>0</v>
      </c>
      <c r="G206">
        <v>0</v>
      </c>
    </row>
    <row r="207" spans="1:7" x14ac:dyDescent="0.3">
      <c r="A207">
        <v>50</v>
      </c>
      <c r="B207">
        <v>150</v>
      </c>
      <c r="C207">
        <v>215</v>
      </c>
      <c r="D207">
        <v>0</v>
      </c>
      <c r="E207">
        <v>140</v>
      </c>
      <c r="F207">
        <v>0</v>
      </c>
      <c r="G207">
        <v>0</v>
      </c>
    </row>
    <row r="208" spans="1:7" x14ac:dyDescent="0.3">
      <c r="A208">
        <v>35</v>
      </c>
      <c r="B208">
        <v>120</v>
      </c>
      <c r="C208">
        <v>308</v>
      </c>
      <c r="D208">
        <v>0</v>
      </c>
      <c r="E208">
        <v>180</v>
      </c>
      <c r="F208">
        <v>0</v>
      </c>
      <c r="G208">
        <v>0</v>
      </c>
    </row>
    <row r="209" spans="1:7" x14ac:dyDescent="0.3">
      <c r="A209">
        <v>35</v>
      </c>
      <c r="B209">
        <v>110</v>
      </c>
      <c r="C209">
        <v>257</v>
      </c>
      <c r="D209">
        <v>0</v>
      </c>
      <c r="E209">
        <v>140</v>
      </c>
      <c r="F209">
        <v>0</v>
      </c>
      <c r="G209">
        <v>1</v>
      </c>
    </row>
    <row r="210" spans="1:7" x14ac:dyDescent="0.3">
      <c r="A210">
        <v>28</v>
      </c>
      <c r="B210">
        <v>130</v>
      </c>
      <c r="C210">
        <v>132</v>
      </c>
      <c r="D210">
        <v>0</v>
      </c>
      <c r="E210">
        <v>185</v>
      </c>
      <c r="F210">
        <v>0</v>
      </c>
      <c r="G210">
        <v>0</v>
      </c>
    </row>
    <row r="211" spans="1:7" x14ac:dyDescent="0.3">
      <c r="A211">
        <v>54</v>
      </c>
      <c r="B211">
        <v>125</v>
      </c>
      <c r="C211">
        <v>216</v>
      </c>
      <c r="D211">
        <v>0</v>
      </c>
      <c r="E211">
        <v>140</v>
      </c>
      <c r="F211">
        <v>0</v>
      </c>
      <c r="G211">
        <v>1</v>
      </c>
    </row>
    <row r="212" spans="1:7" x14ac:dyDescent="0.3">
      <c r="A212">
        <v>48</v>
      </c>
      <c r="B212">
        <v>106</v>
      </c>
      <c r="C212">
        <v>263</v>
      </c>
      <c r="D212">
        <v>1</v>
      </c>
      <c r="E212">
        <v>110</v>
      </c>
      <c r="F212">
        <v>0</v>
      </c>
      <c r="G212">
        <v>1</v>
      </c>
    </row>
    <row r="213" spans="1:7" x14ac:dyDescent="0.3">
      <c r="A213">
        <v>50</v>
      </c>
      <c r="B213">
        <v>140</v>
      </c>
      <c r="C213">
        <v>288</v>
      </c>
      <c r="D213">
        <v>0</v>
      </c>
      <c r="E213">
        <v>140</v>
      </c>
      <c r="F213">
        <v>0</v>
      </c>
      <c r="G213">
        <v>1</v>
      </c>
    </row>
    <row r="214" spans="1:7" x14ac:dyDescent="0.3">
      <c r="A214">
        <v>56</v>
      </c>
      <c r="B214">
        <v>130</v>
      </c>
      <c r="C214">
        <v>276</v>
      </c>
      <c r="D214">
        <v>0</v>
      </c>
      <c r="E214">
        <v>128</v>
      </c>
      <c r="F214">
        <v>1</v>
      </c>
      <c r="G214">
        <v>0</v>
      </c>
    </row>
    <row r="215" spans="1:7" x14ac:dyDescent="0.3">
      <c r="A215">
        <v>56</v>
      </c>
      <c r="B215">
        <v>130</v>
      </c>
      <c r="C215">
        <v>219</v>
      </c>
      <c r="D215">
        <v>0</v>
      </c>
      <c r="E215">
        <v>164</v>
      </c>
      <c r="F215">
        <v>0</v>
      </c>
      <c r="G215">
        <v>0</v>
      </c>
    </row>
    <row r="216" spans="1:7" x14ac:dyDescent="0.3">
      <c r="A216">
        <v>47</v>
      </c>
      <c r="B216">
        <v>150</v>
      </c>
      <c r="C216">
        <v>226</v>
      </c>
      <c r="D216">
        <v>0</v>
      </c>
      <c r="E216">
        <v>98</v>
      </c>
      <c r="F216">
        <v>1.5</v>
      </c>
      <c r="G216">
        <v>1</v>
      </c>
    </row>
    <row r="217" spans="1:7" x14ac:dyDescent="0.3">
      <c r="A217">
        <v>30</v>
      </c>
      <c r="B217">
        <v>170</v>
      </c>
      <c r="C217">
        <v>237</v>
      </c>
      <c r="D217">
        <v>0</v>
      </c>
      <c r="E217">
        <v>170</v>
      </c>
      <c r="F217">
        <v>0</v>
      </c>
      <c r="G217">
        <v>0</v>
      </c>
    </row>
    <row r="218" spans="1:7" x14ac:dyDescent="0.3">
      <c r="A218">
        <v>39</v>
      </c>
      <c r="B218">
        <v>110</v>
      </c>
      <c r="C218">
        <v>280</v>
      </c>
      <c r="D218">
        <v>0</v>
      </c>
      <c r="E218">
        <v>150</v>
      </c>
      <c r="F218">
        <v>0</v>
      </c>
      <c r="G218">
        <v>1</v>
      </c>
    </row>
    <row r="219" spans="1:7" x14ac:dyDescent="0.3">
      <c r="A219">
        <v>54</v>
      </c>
      <c r="B219">
        <v>120</v>
      </c>
      <c r="C219">
        <v>217</v>
      </c>
      <c r="D219">
        <v>0</v>
      </c>
      <c r="E219">
        <v>137</v>
      </c>
      <c r="F219">
        <v>0</v>
      </c>
      <c r="G219">
        <v>0</v>
      </c>
    </row>
    <row r="220" spans="1:7" x14ac:dyDescent="0.3">
      <c r="A220">
        <v>55</v>
      </c>
      <c r="B220">
        <v>140</v>
      </c>
      <c r="C220">
        <v>196</v>
      </c>
      <c r="D220">
        <v>0</v>
      </c>
      <c r="E220">
        <v>150</v>
      </c>
      <c r="F220">
        <v>0</v>
      </c>
      <c r="G220">
        <v>0</v>
      </c>
    </row>
    <row r="221" spans="1:7" x14ac:dyDescent="0.3">
      <c r="A221">
        <v>29</v>
      </c>
      <c r="B221">
        <v>140</v>
      </c>
      <c r="C221">
        <v>263</v>
      </c>
      <c r="D221">
        <v>0</v>
      </c>
      <c r="E221">
        <v>170</v>
      </c>
      <c r="F221">
        <v>0</v>
      </c>
      <c r="G221">
        <v>0</v>
      </c>
    </row>
    <row r="222" spans="1:7" x14ac:dyDescent="0.3">
      <c r="A222">
        <v>46</v>
      </c>
      <c r="B222">
        <v>130</v>
      </c>
      <c r="C222">
        <v>222</v>
      </c>
      <c r="D222">
        <v>0</v>
      </c>
      <c r="E222">
        <v>112</v>
      </c>
      <c r="F222">
        <v>0</v>
      </c>
      <c r="G222">
        <v>1</v>
      </c>
    </row>
    <row r="223" spans="1:7" x14ac:dyDescent="0.3">
      <c r="A223">
        <v>51</v>
      </c>
      <c r="B223">
        <v>160</v>
      </c>
      <c r="C223">
        <v>303</v>
      </c>
      <c r="D223">
        <v>0</v>
      </c>
      <c r="E223">
        <v>150</v>
      </c>
      <c r="F223">
        <v>1</v>
      </c>
      <c r="G223">
        <v>1</v>
      </c>
    </row>
    <row r="224" spans="1:7" x14ac:dyDescent="0.3">
      <c r="A224">
        <v>48</v>
      </c>
      <c r="B224">
        <v>120</v>
      </c>
      <c r="C224">
        <v>195</v>
      </c>
      <c r="D224">
        <v>0</v>
      </c>
      <c r="E224">
        <v>125</v>
      </c>
      <c r="F224">
        <v>0</v>
      </c>
      <c r="G224">
        <v>0</v>
      </c>
    </row>
    <row r="225" spans="1:7" x14ac:dyDescent="0.3">
      <c r="A225">
        <v>33</v>
      </c>
      <c r="B225">
        <v>120</v>
      </c>
      <c r="C225">
        <v>298</v>
      </c>
      <c r="D225">
        <v>0</v>
      </c>
      <c r="E225">
        <v>185</v>
      </c>
      <c r="F225">
        <v>0</v>
      </c>
      <c r="G225">
        <v>0</v>
      </c>
    </row>
    <row r="226" spans="1:7" x14ac:dyDescent="0.3">
      <c r="A226">
        <v>55</v>
      </c>
      <c r="B226">
        <v>120</v>
      </c>
      <c r="C226">
        <v>256</v>
      </c>
      <c r="D226">
        <v>1</v>
      </c>
      <c r="E226">
        <v>137</v>
      </c>
      <c r="F226">
        <v>0</v>
      </c>
      <c r="G226">
        <v>0</v>
      </c>
    </row>
    <row r="227" spans="1:7" x14ac:dyDescent="0.3">
      <c r="A227">
        <v>50</v>
      </c>
      <c r="B227">
        <v>145</v>
      </c>
      <c r="C227">
        <v>264</v>
      </c>
      <c r="D227">
        <v>0</v>
      </c>
      <c r="E227">
        <v>150</v>
      </c>
      <c r="F227">
        <v>0</v>
      </c>
      <c r="G227">
        <v>1</v>
      </c>
    </row>
    <row r="228" spans="1:7" x14ac:dyDescent="0.3">
      <c r="A228">
        <v>53</v>
      </c>
      <c r="B228">
        <v>120</v>
      </c>
      <c r="C228">
        <v>195</v>
      </c>
      <c r="D228">
        <v>0</v>
      </c>
      <c r="E228">
        <v>140</v>
      </c>
      <c r="F228">
        <v>0</v>
      </c>
      <c r="G228">
        <v>0</v>
      </c>
    </row>
    <row r="229" spans="1:7" x14ac:dyDescent="0.3">
      <c r="A229">
        <v>38</v>
      </c>
      <c r="B229">
        <v>92</v>
      </c>
      <c r="C229">
        <v>117</v>
      </c>
      <c r="D229">
        <v>0</v>
      </c>
      <c r="E229">
        <v>134</v>
      </c>
      <c r="F229">
        <v>2.5</v>
      </c>
      <c r="G229">
        <v>1</v>
      </c>
    </row>
    <row r="230" spans="1:7" x14ac:dyDescent="0.3">
      <c r="A230">
        <v>41</v>
      </c>
      <c r="B230">
        <v>120</v>
      </c>
      <c r="C230">
        <v>295</v>
      </c>
      <c r="D230">
        <v>0</v>
      </c>
      <c r="E230">
        <v>170</v>
      </c>
      <c r="F230">
        <v>0</v>
      </c>
      <c r="G230">
        <v>0</v>
      </c>
    </row>
    <row r="231" spans="1:7" x14ac:dyDescent="0.3">
      <c r="A231">
        <v>37</v>
      </c>
      <c r="B231">
        <v>130</v>
      </c>
      <c r="C231">
        <v>173</v>
      </c>
      <c r="D231">
        <v>0</v>
      </c>
      <c r="E231">
        <v>184</v>
      </c>
      <c r="F231">
        <v>0</v>
      </c>
      <c r="G231">
        <v>0</v>
      </c>
    </row>
    <row r="232" spans="1:7" x14ac:dyDescent="0.3">
      <c r="A232">
        <v>37</v>
      </c>
      <c r="B232">
        <v>130</v>
      </c>
      <c r="C232">
        <v>315</v>
      </c>
      <c r="D232">
        <v>0</v>
      </c>
      <c r="E232">
        <v>158</v>
      </c>
      <c r="F232">
        <v>0</v>
      </c>
      <c r="G232">
        <v>0</v>
      </c>
    </row>
    <row r="233" spans="1:7" x14ac:dyDescent="0.3">
      <c r="A233">
        <v>40</v>
      </c>
      <c r="B233">
        <v>130</v>
      </c>
      <c r="C233">
        <v>281</v>
      </c>
      <c r="D233">
        <v>0</v>
      </c>
      <c r="E233">
        <v>167</v>
      </c>
      <c r="F233">
        <v>0</v>
      </c>
      <c r="G233">
        <v>0</v>
      </c>
    </row>
    <row r="234" spans="1:7" x14ac:dyDescent="0.3">
      <c r="A234">
        <v>38</v>
      </c>
      <c r="B234">
        <v>120</v>
      </c>
      <c r="C234">
        <v>275</v>
      </c>
      <c r="D234">
        <v>0</v>
      </c>
      <c r="E234">
        <v>129</v>
      </c>
      <c r="F234">
        <v>0</v>
      </c>
      <c r="G234">
        <v>0</v>
      </c>
    </row>
    <row r="235" spans="1:7" x14ac:dyDescent="0.3">
      <c r="A235">
        <v>41</v>
      </c>
      <c r="B235">
        <v>112</v>
      </c>
      <c r="C235">
        <v>250</v>
      </c>
      <c r="D235">
        <v>0</v>
      </c>
      <c r="E235">
        <v>142</v>
      </c>
      <c r="F235">
        <v>0</v>
      </c>
      <c r="G235">
        <v>0</v>
      </c>
    </row>
    <row r="236" spans="1:7" x14ac:dyDescent="0.3">
      <c r="A236">
        <v>54</v>
      </c>
      <c r="B236">
        <v>140</v>
      </c>
      <c r="C236">
        <v>309</v>
      </c>
      <c r="D236">
        <v>0</v>
      </c>
      <c r="E236">
        <v>140</v>
      </c>
      <c r="F236">
        <v>0</v>
      </c>
      <c r="G236">
        <v>0</v>
      </c>
    </row>
    <row r="237" spans="1:7" x14ac:dyDescent="0.3">
      <c r="A237">
        <v>39</v>
      </c>
      <c r="B237">
        <v>120</v>
      </c>
      <c r="C237">
        <v>200</v>
      </c>
      <c r="D237">
        <v>0</v>
      </c>
      <c r="E237">
        <v>160</v>
      </c>
      <c r="F237">
        <v>1</v>
      </c>
      <c r="G237">
        <v>0</v>
      </c>
    </row>
    <row r="238" spans="1:7" x14ac:dyDescent="0.3">
      <c r="A238">
        <v>41</v>
      </c>
      <c r="B238">
        <v>120</v>
      </c>
      <c r="C238">
        <v>336</v>
      </c>
      <c r="D238">
        <v>0</v>
      </c>
      <c r="E238">
        <v>118</v>
      </c>
      <c r="F238">
        <v>3</v>
      </c>
      <c r="G238">
        <v>1</v>
      </c>
    </row>
    <row r="239" spans="1:7" x14ac:dyDescent="0.3">
      <c r="A239">
        <v>55</v>
      </c>
      <c r="B239">
        <v>140</v>
      </c>
      <c r="C239">
        <v>295</v>
      </c>
      <c r="D239">
        <v>0</v>
      </c>
      <c r="E239">
        <v>136</v>
      </c>
      <c r="F239">
        <v>0</v>
      </c>
      <c r="G239">
        <v>1</v>
      </c>
    </row>
    <row r="240" spans="1:7" x14ac:dyDescent="0.3">
      <c r="A240">
        <v>48</v>
      </c>
      <c r="B240">
        <v>160</v>
      </c>
      <c r="C240">
        <v>355</v>
      </c>
      <c r="D240">
        <v>0</v>
      </c>
      <c r="E240">
        <v>99</v>
      </c>
      <c r="F240">
        <v>2</v>
      </c>
      <c r="G240">
        <v>1</v>
      </c>
    </row>
    <row r="241" spans="1:7" x14ac:dyDescent="0.3">
      <c r="A241">
        <v>48</v>
      </c>
      <c r="B241">
        <v>160</v>
      </c>
      <c r="C241">
        <v>193</v>
      </c>
      <c r="D241">
        <v>0</v>
      </c>
      <c r="E241">
        <v>102</v>
      </c>
      <c r="F241">
        <v>3</v>
      </c>
      <c r="G241">
        <v>1</v>
      </c>
    </row>
    <row r="242" spans="1:7" x14ac:dyDescent="0.3">
      <c r="A242">
        <v>55</v>
      </c>
      <c r="B242">
        <v>145</v>
      </c>
      <c r="C242">
        <v>326</v>
      </c>
      <c r="D242">
        <v>0</v>
      </c>
      <c r="E242">
        <v>155</v>
      </c>
      <c r="F242">
        <v>0</v>
      </c>
      <c r="G242">
        <v>0</v>
      </c>
    </row>
    <row r="243" spans="1:7" x14ac:dyDescent="0.3">
      <c r="A243">
        <v>54</v>
      </c>
      <c r="B243">
        <v>200</v>
      </c>
      <c r="C243">
        <v>198</v>
      </c>
      <c r="D243">
        <v>0</v>
      </c>
      <c r="E243">
        <v>142</v>
      </c>
      <c r="F243">
        <v>2</v>
      </c>
      <c r="G243">
        <v>1</v>
      </c>
    </row>
    <row r="244" spans="1:7" x14ac:dyDescent="0.3">
      <c r="A244">
        <v>55</v>
      </c>
      <c r="B244">
        <v>160</v>
      </c>
      <c r="C244">
        <v>292</v>
      </c>
      <c r="D244">
        <v>1</v>
      </c>
      <c r="E244">
        <v>143</v>
      </c>
      <c r="F244">
        <v>2</v>
      </c>
      <c r="G244">
        <v>1</v>
      </c>
    </row>
    <row r="245" spans="1:7" x14ac:dyDescent="0.3">
      <c r="A245">
        <v>43</v>
      </c>
      <c r="B245">
        <v>120</v>
      </c>
      <c r="C245">
        <v>266</v>
      </c>
      <c r="D245">
        <v>0</v>
      </c>
      <c r="E245">
        <v>118</v>
      </c>
      <c r="F245">
        <v>0</v>
      </c>
      <c r="G245">
        <v>0</v>
      </c>
    </row>
    <row r="246" spans="1:7" x14ac:dyDescent="0.3">
      <c r="A246">
        <v>48</v>
      </c>
      <c r="B246">
        <v>160</v>
      </c>
      <c r="C246">
        <v>268</v>
      </c>
      <c r="D246">
        <v>0</v>
      </c>
      <c r="E246">
        <v>103</v>
      </c>
      <c r="F246">
        <v>1</v>
      </c>
      <c r="G246">
        <v>1</v>
      </c>
    </row>
    <row r="247" spans="1:7" x14ac:dyDescent="0.3">
      <c r="A247">
        <v>54</v>
      </c>
      <c r="B247">
        <v>120</v>
      </c>
      <c r="C247">
        <v>171</v>
      </c>
      <c r="D247">
        <v>0</v>
      </c>
      <c r="E247">
        <v>137</v>
      </c>
      <c r="F247">
        <v>2</v>
      </c>
      <c r="G247">
        <v>0</v>
      </c>
    </row>
    <row r="248" spans="1:7" x14ac:dyDescent="0.3">
      <c r="A248">
        <v>54</v>
      </c>
      <c r="B248">
        <v>120</v>
      </c>
      <c r="C248">
        <v>237</v>
      </c>
      <c r="D248">
        <v>0</v>
      </c>
      <c r="E248">
        <v>150</v>
      </c>
      <c r="F248">
        <v>1.5</v>
      </c>
      <c r="G248">
        <v>1</v>
      </c>
    </row>
    <row r="249" spans="1:7" x14ac:dyDescent="0.3">
      <c r="A249">
        <v>48</v>
      </c>
      <c r="B249">
        <v>122</v>
      </c>
      <c r="C249">
        <v>275</v>
      </c>
      <c r="D249">
        <v>1</v>
      </c>
      <c r="E249">
        <v>150</v>
      </c>
      <c r="F249">
        <v>2</v>
      </c>
      <c r="G249">
        <v>1</v>
      </c>
    </row>
    <row r="250" spans="1:7" x14ac:dyDescent="0.3">
      <c r="A250">
        <v>45</v>
      </c>
      <c r="B250">
        <v>130</v>
      </c>
      <c r="C250">
        <v>219</v>
      </c>
      <c r="D250">
        <v>0</v>
      </c>
      <c r="E250">
        <v>130</v>
      </c>
      <c r="F250">
        <v>1</v>
      </c>
      <c r="G250">
        <v>1</v>
      </c>
    </row>
    <row r="251" spans="1:7" x14ac:dyDescent="0.3">
      <c r="A251">
        <v>49</v>
      </c>
      <c r="B251">
        <v>130</v>
      </c>
      <c r="C251">
        <v>341</v>
      </c>
      <c r="D251">
        <v>0</v>
      </c>
      <c r="E251">
        <v>120</v>
      </c>
      <c r="F251">
        <v>1</v>
      </c>
      <c r="G251">
        <v>1</v>
      </c>
    </row>
    <row r="252" spans="1:7" x14ac:dyDescent="0.3">
      <c r="A252">
        <v>44</v>
      </c>
      <c r="B252">
        <v>135</v>
      </c>
      <c r="C252">
        <v>491</v>
      </c>
      <c r="D252">
        <v>0</v>
      </c>
      <c r="E252">
        <v>135</v>
      </c>
      <c r="F252">
        <v>0</v>
      </c>
      <c r="G252">
        <v>1</v>
      </c>
    </row>
    <row r="253" spans="1:7" x14ac:dyDescent="0.3">
      <c r="A253">
        <v>48</v>
      </c>
      <c r="B253">
        <v>120</v>
      </c>
      <c r="C253">
        <v>260</v>
      </c>
      <c r="D253">
        <v>0</v>
      </c>
      <c r="E253">
        <v>115</v>
      </c>
      <c r="F253">
        <v>2</v>
      </c>
      <c r="G253">
        <v>1</v>
      </c>
    </row>
    <row r="254" spans="1:7" x14ac:dyDescent="0.3">
      <c r="A254">
        <v>61</v>
      </c>
      <c r="B254">
        <v>125</v>
      </c>
      <c r="C254">
        <v>292</v>
      </c>
      <c r="D254">
        <v>0</v>
      </c>
      <c r="E254">
        <v>115</v>
      </c>
      <c r="F254">
        <v>0</v>
      </c>
      <c r="G254">
        <v>0</v>
      </c>
    </row>
    <row r="255" spans="1:7" x14ac:dyDescent="0.3">
      <c r="A255">
        <v>62</v>
      </c>
      <c r="B255">
        <v>140</v>
      </c>
      <c r="C255">
        <v>271</v>
      </c>
      <c r="D255">
        <v>0</v>
      </c>
      <c r="E255">
        <v>152</v>
      </c>
      <c r="F255">
        <v>1</v>
      </c>
      <c r="G255">
        <v>0</v>
      </c>
    </row>
    <row r="256" spans="1:7" x14ac:dyDescent="0.3">
      <c r="A256">
        <v>55</v>
      </c>
      <c r="B256">
        <v>145</v>
      </c>
      <c r="C256">
        <v>248</v>
      </c>
      <c r="D256">
        <v>0</v>
      </c>
      <c r="E256">
        <v>96</v>
      </c>
      <c r="F256">
        <v>2</v>
      </c>
      <c r="G256">
        <v>1</v>
      </c>
    </row>
    <row r="257" spans="1:7" x14ac:dyDescent="0.3">
      <c r="A257">
        <v>53</v>
      </c>
      <c r="B257">
        <v>120</v>
      </c>
      <c r="C257">
        <v>274</v>
      </c>
      <c r="D257">
        <v>0</v>
      </c>
      <c r="E257">
        <v>130</v>
      </c>
      <c r="F257">
        <v>0</v>
      </c>
      <c r="G257">
        <v>0</v>
      </c>
    </row>
    <row r="258" spans="1:7" x14ac:dyDescent="0.3">
      <c r="A258">
        <v>55</v>
      </c>
      <c r="B258">
        <v>130</v>
      </c>
      <c r="C258">
        <v>394</v>
      </c>
      <c r="D258">
        <v>0</v>
      </c>
      <c r="E258">
        <v>150</v>
      </c>
      <c r="F258">
        <v>0</v>
      </c>
      <c r="G258">
        <v>0</v>
      </c>
    </row>
    <row r="259" spans="1:7" x14ac:dyDescent="0.3">
      <c r="A259">
        <v>36</v>
      </c>
      <c r="B259">
        <v>150</v>
      </c>
      <c r="C259">
        <v>160</v>
      </c>
      <c r="D259">
        <v>0</v>
      </c>
      <c r="E259">
        <v>172</v>
      </c>
      <c r="F259">
        <v>0</v>
      </c>
      <c r="G259">
        <v>0</v>
      </c>
    </row>
    <row r="260" spans="1:7" x14ac:dyDescent="0.3">
      <c r="A260">
        <v>51</v>
      </c>
      <c r="B260">
        <v>150</v>
      </c>
      <c r="C260">
        <v>200</v>
      </c>
      <c r="D260">
        <v>0</v>
      </c>
      <c r="E260">
        <v>120</v>
      </c>
      <c r="F260">
        <v>0.5</v>
      </c>
      <c r="G260">
        <v>0</v>
      </c>
    </row>
    <row r="261" spans="1:7" x14ac:dyDescent="0.3">
      <c r="A261">
        <v>55</v>
      </c>
      <c r="B261">
        <v>122</v>
      </c>
      <c r="C261">
        <v>320</v>
      </c>
      <c r="D261">
        <v>0</v>
      </c>
      <c r="E261">
        <v>155</v>
      </c>
      <c r="F261">
        <v>0</v>
      </c>
      <c r="G261">
        <v>0</v>
      </c>
    </row>
    <row r="262" spans="1:7" x14ac:dyDescent="0.3">
      <c r="A262">
        <v>46</v>
      </c>
      <c r="B262">
        <v>140</v>
      </c>
      <c r="C262">
        <v>275</v>
      </c>
      <c r="D262">
        <v>0</v>
      </c>
      <c r="E262">
        <v>165</v>
      </c>
      <c r="F262">
        <v>0</v>
      </c>
      <c r="G262">
        <v>0</v>
      </c>
    </row>
    <row r="263" spans="1:7" x14ac:dyDescent="0.3">
      <c r="A263">
        <v>54</v>
      </c>
      <c r="B263">
        <v>120</v>
      </c>
      <c r="C263">
        <v>221</v>
      </c>
      <c r="D263">
        <v>0</v>
      </c>
      <c r="E263">
        <v>138</v>
      </c>
      <c r="F263">
        <v>1</v>
      </c>
      <c r="G263">
        <v>0</v>
      </c>
    </row>
    <row r="264" spans="1:7" x14ac:dyDescent="0.3">
      <c r="A264">
        <v>46</v>
      </c>
      <c r="B264">
        <v>120</v>
      </c>
      <c r="C264">
        <v>231</v>
      </c>
      <c r="D264">
        <v>0</v>
      </c>
      <c r="E264">
        <v>115</v>
      </c>
      <c r="F264">
        <v>0</v>
      </c>
      <c r="G264">
        <v>1</v>
      </c>
    </row>
    <row r="265" spans="1:7" x14ac:dyDescent="0.3">
      <c r="A265">
        <v>59</v>
      </c>
      <c r="B265">
        <v>130</v>
      </c>
      <c r="C265">
        <v>126</v>
      </c>
      <c r="D265">
        <v>0</v>
      </c>
      <c r="E265">
        <v>125</v>
      </c>
      <c r="F265">
        <v>0</v>
      </c>
      <c r="G265">
        <v>1</v>
      </c>
    </row>
    <row r="266" spans="1:7" x14ac:dyDescent="0.3">
      <c r="A266">
        <v>47</v>
      </c>
      <c r="B266">
        <v>140</v>
      </c>
      <c r="C266">
        <v>193</v>
      </c>
      <c r="D266">
        <v>0</v>
      </c>
      <c r="E266">
        <v>145</v>
      </c>
      <c r="F266">
        <v>1</v>
      </c>
      <c r="G266">
        <v>1</v>
      </c>
    </row>
    <row r="267" spans="1:7" x14ac:dyDescent="0.3">
      <c r="A267">
        <v>54</v>
      </c>
      <c r="B267">
        <v>160</v>
      </c>
      <c r="C267">
        <v>305</v>
      </c>
      <c r="D267">
        <v>0</v>
      </c>
      <c r="E267">
        <v>175</v>
      </c>
      <c r="F267">
        <v>0</v>
      </c>
      <c r="G267">
        <v>0</v>
      </c>
    </row>
    <row r="268" spans="1:7" x14ac:dyDescent="0.3">
      <c r="A268">
        <v>52</v>
      </c>
      <c r="B268">
        <v>130</v>
      </c>
      <c r="C268">
        <v>298</v>
      </c>
      <c r="D268">
        <v>0</v>
      </c>
      <c r="E268">
        <v>110</v>
      </c>
      <c r="F268">
        <v>1</v>
      </c>
      <c r="G268">
        <v>1</v>
      </c>
    </row>
    <row r="269" spans="1:7" x14ac:dyDescent="0.3">
      <c r="A269">
        <v>34</v>
      </c>
      <c r="B269">
        <v>98</v>
      </c>
      <c r="C269">
        <v>220</v>
      </c>
      <c r="D269">
        <v>0</v>
      </c>
      <c r="E269">
        <v>150</v>
      </c>
      <c r="F269">
        <v>0</v>
      </c>
      <c r="G269">
        <v>0</v>
      </c>
    </row>
    <row r="270" spans="1:7" x14ac:dyDescent="0.3">
      <c r="A270">
        <v>54</v>
      </c>
      <c r="B270">
        <v>130</v>
      </c>
      <c r="C270">
        <v>242</v>
      </c>
      <c r="D270">
        <v>0</v>
      </c>
      <c r="E270">
        <v>91</v>
      </c>
      <c r="F270">
        <v>1</v>
      </c>
      <c r="G270">
        <v>1</v>
      </c>
    </row>
    <row r="271" spans="1:7" x14ac:dyDescent="0.3">
      <c r="A271">
        <v>47</v>
      </c>
      <c r="B271">
        <v>130</v>
      </c>
      <c r="C271">
        <v>235</v>
      </c>
      <c r="D271">
        <v>0</v>
      </c>
      <c r="E271">
        <v>145</v>
      </c>
      <c r="F271">
        <v>2</v>
      </c>
      <c r="G271">
        <v>0</v>
      </c>
    </row>
    <row r="272" spans="1:7" x14ac:dyDescent="0.3">
      <c r="A272">
        <v>45</v>
      </c>
      <c r="B272">
        <v>120</v>
      </c>
      <c r="C272">
        <v>225</v>
      </c>
      <c r="D272">
        <v>0</v>
      </c>
      <c r="E272">
        <v>140</v>
      </c>
      <c r="F272">
        <v>0</v>
      </c>
      <c r="G272">
        <v>0</v>
      </c>
    </row>
    <row r="273" spans="1:7" x14ac:dyDescent="0.3">
      <c r="A273">
        <v>32</v>
      </c>
      <c r="B273">
        <v>105</v>
      </c>
      <c r="C273">
        <v>198</v>
      </c>
      <c r="D273">
        <v>0</v>
      </c>
      <c r="E273">
        <v>165</v>
      </c>
      <c r="F273">
        <v>0</v>
      </c>
      <c r="G273">
        <v>0</v>
      </c>
    </row>
    <row r="274" spans="1:7" x14ac:dyDescent="0.3">
      <c r="A274">
        <v>55</v>
      </c>
      <c r="B274">
        <v>140</v>
      </c>
      <c r="C274">
        <v>201</v>
      </c>
      <c r="D274">
        <v>0</v>
      </c>
      <c r="E274">
        <v>130</v>
      </c>
      <c r="F274">
        <v>3</v>
      </c>
      <c r="G274">
        <v>1</v>
      </c>
    </row>
    <row r="275" spans="1:7" x14ac:dyDescent="0.3">
      <c r="A275">
        <v>55</v>
      </c>
      <c r="B275">
        <v>120</v>
      </c>
      <c r="C275">
        <v>220</v>
      </c>
      <c r="D275">
        <v>0</v>
      </c>
      <c r="E275">
        <v>134</v>
      </c>
      <c r="F275">
        <v>0</v>
      </c>
      <c r="G275">
        <v>0</v>
      </c>
    </row>
    <row r="276" spans="1:7" x14ac:dyDescent="0.3">
      <c r="A276">
        <v>45</v>
      </c>
      <c r="B276">
        <v>180</v>
      </c>
      <c r="C276">
        <v>295</v>
      </c>
      <c r="D276">
        <v>0</v>
      </c>
      <c r="E276">
        <v>180</v>
      </c>
      <c r="F276">
        <v>0</v>
      </c>
      <c r="G276">
        <v>0</v>
      </c>
    </row>
    <row r="277" spans="1:7" x14ac:dyDescent="0.3">
      <c r="A277">
        <v>59</v>
      </c>
      <c r="B277">
        <v>180</v>
      </c>
      <c r="C277">
        <v>213</v>
      </c>
      <c r="D277">
        <v>0</v>
      </c>
      <c r="E277">
        <v>100</v>
      </c>
      <c r="F277">
        <v>0</v>
      </c>
      <c r="G277">
        <v>0</v>
      </c>
    </row>
    <row r="278" spans="1:7" x14ac:dyDescent="0.3">
      <c r="A278">
        <v>51</v>
      </c>
      <c r="B278">
        <v>135</v>
      </c>
      <c r="C278">
        <v>160</v>
      </c>
      <c r="D278">
        <v>0</v>
      </c>
      <c r="E278">
        <v>150</v>
      </c>
      <c r="F278">
        <v>2</v>
      </c>
      <c r="G278">
        <v>1</v>
      </c>
    </row>
    <row r="279" spans="1:7" x14ac:dyDescent="0.3">
      <c r="A279">
        <v>52</v>
      </c>
      <c r="B279">
        <v>170</v>
      </c>
      <c r="C279">
        <v>223</v>
      </c>
      <c r="D279">
        <v>0</v>
      </c>
      <c r="E279">
        <v>126</v>
      </c>
      <c r="F279">
        <v>1.5</v>
      </c>
      <c r="G279">
        <v>1</v>
      </c>
    </row>
    <row r="280" spans="1:7" x14ac:dyDescent="0.3">
      <c r="A280">
        <v>57</v>
      </c>
      <c r="B280">
        <v>180</v>
      </c>
      <c r="C280">
        <v>347</v>
      </c>
      <c r="D280">
        <v>0</v>
      </c>
      <c r="E280">
        <v>126</v>
      </c>
      <c r="F280">
        <v>0.8</v>
      </c>
      <c r="G280">
        <v>0</v>
      </c>
    </row>
    <row r="281" spans="1:7" x14ac:dyDescent="0.3">
      <c r="A281">
        <v>54</v>
      </c>
      <c r="B281">
        <v>130</v>
      </c>
      <c r="C281">
        <v>253</v>
      </c>
      <c r="D281">
        <v>0</v>
      </c>
      <c r="E281">
        <v>155</v>
      </c>
      <c r="F281">
        <v>0</v>
      </c>
      <c r="G281">
        <v>0</v>
      </c>
    </row>
    <row r="282" spans="1:7" x14ac:dyDescent="0.3">
      <c r="A282">
        <v>60</v>
      </c>
      <c r="B282">
        <v>120</v>
      </c>
      <c r="C282">
        <v>246</v>
      </c>
      <c r="D282">
        <v>0</v>
      </c>
      <c r="E282">
        <v>135</v>
      </c>
      <c r="F282">
        <v>0</v>
      </c>
      <c r="G282">
        <v>0</v>
      </c>
    </row>
    <row r="283" spans="1:7" x14ac:dyDescent="0.3">
      <c r="A283">
        <v>49</v>
      </c>
      <c r="B283">
        <v>150</v>
      </c>
      <c r="C283">
        <v>222</v>
      </c>
      <c r="D283">
        <v>0</v>
      </c>
      <c r="E283">
        <v>122</v>
      </c>
      <c r="F283">
        <v>2</v>
      </c>
      <c r="G283">
        <v>1</v>
      </c>
    </row>
    <row r="284" spans="1:7" x14ac:dyDescent="0.3">
      <c r="A284">
        <v>51</v>
      </c>
      <c r="B284">
        <v>130</v>
      </c>
      <c r="C284">
        <v>220</v>
      </c>
      <c r="D284">
        <v>0</v>
      </c>
      <c r="E284">
        <v>160</v>
      </c>
      <c r="F284">
        <v>2</v>
      </c>
      <c r="G284">
        <v>0</v>
      </c>
    </row>
    <row r="285" spans="1:7" x14ac:dyDescent="0.3">
      <c r="A285">
        <v>55</v>
      </c>
      <c r="B285">
        <v>110</v>
      </c>
      <c r="C285">
        <v>344</v>
      </c>
      <c r="D285">
        <v>0</v>
      </c>
      <c r="E285">
        <v>160</v>
      </c>
      <c r="F285">
        <v>0</v>
      </c>
      <c r="G285">
        <v>0</v>
      </c>
    </row>
    <row r="286" spans="1:7" x14ac:dyDescent="0.3">
      <c r="A286">
        <v>42</v>
      </c>
      <c r="B286">
        <v>140</v>
      </c>
      <c r="C286">
        <v>358</v>
      </c>
      <c r="D286">
        <v>0</v>
      </c>
      <c r="E286">
        <v>170</v>
      </c>
      <c r="F286">
        <v>0</v>
      </c>
      <c r="G286">
        <v>0</v>
      </c>
    </row>
    <row r="287" spans="1:7" x14ac:dyDescent="0.3">
      <c r="A287">
        <v>51</v>
      </c>
      <c r="B287">
        <v>110</v>
      </c>
      <c r="C287">
        <v>190</v>
      </c>
      <c r="D287">
        <v>0</v>
      </c>
      <c r="E287">
        <v>120</v>
      </c>
      <c r="F287">
        <v>0</v>
      </c>
      <c r="G287">
        <v>0</v>
      </c>
    </row>
    <row r="288" spans="1:7" x14ac:dyDescent="0.3">
      <c r="A288">
        <v>59</v>
      </c>
      <c r="B288">
        <v>140</v>
      </c>
      <c r="C288">
        <v>169</v>
      </c>
      <c r="D288">
        <v>0</v>
      </c>
      <c r="E288">
        <v>140</v>
      </c>
      <c r="F288">
        <v>0</v>
      </c>
      <c r="G288">
        <v>0</v>
      </c>
    </row>
    <row r="289" spans="1:7" x14ac:dyDescent="0.3">
      <c r="A289">
        <v>53</v>
      </c>
      <c r="B289">
        <v>120</v>
      </c>
      <c r="C289">
        <v>181</v>
      </c>
      <c r="D289">
        <v>0</v>
      </c>
      <c r="E289">
        <v>132</v>
      </c>
      <c r="F289">
        <v>0</v>
      </c>
      <c r="G289">
        <v>0</v>
      </c>
    </row>
    <row r="290" spans="1:7" x14ac:dyDescent="0.3">
      <c r="A290">
        <v>48</v>
      </c>
      <c r="B290">
        <v>133</v>
      </c>
      <c r="C290">
        <v>308</v>
      </c>
      <c r="D290">
        <v>0</v>
      </c>
      <c r="E290">
        <v>156</v>
      </c>
      <c r="F290">
        <v>2</v>
      </c>
      <c r="G290">
        <v>0</v>
      </c>
    </row>
    <row r="291" spans="1:7" x14ac:dyDescent="0.3">
      <c r="A291">
        <v>36</v>
      </c>
      <c r="B291">
        <v>120</v>
      </c>
      <c r="C291">
        <v>166</v>
      </c>
      <c r="D291">
        <v>0</v>
      </c>
      <c r="E291">
        <v>180</v>
      </c>
      <c r="F291">
        <v>0</v>
      </c>
      <c r="G291">
        <v>0</v>
      </c>
    </row>
    <row r="292" spans="1:7" x14ac:dyDescent="0.3">
      <c r="A292">
        <v>48</v>
      </c>
      <c r="B292">
        <v>110</v>
      </c>
      <c r="C292">
        <v>211</v>
      </c>
      <c r="D292">
        <v>0</v>
      </c>
      <c r="E292">
        <v>138</v>
      </c>
      <c r="F292">
        <v>0</v>
      </c>
      <c r="G292">
        <v>0</v>
      </c>
    </row>
    <row r="293" spans="1:7" x14ac:dyDescent="0.3">
      <c r="A293">
        <v>47</v>
      </c>
      <c r="B293">
        <v>140</v>
      </c>
      <c r="C293">
        <v>257</v>
      </c>
      <c r="D293">
        <v>0</v>
      </c>
      <c r="E293">
        <v>135</v>
      </c>
      <c r="F293">
        <v>1</v>
      </c>
      <c r="G293">
        <v>0</v>
      </c>
    </row>
    <row r="294" spans="1:7" x14ac:dyDescent="0.3">
      <c r="A294">
        <v>53</v>
      </c>
      <c r="B294">
        <v>130</v>
      </c>
      <c r="C294">
        <v>182</v>
      </c>
      <c r="D294">
        <v>0</v>
      </c>
      <c r="E294">
        <v>148</v>
      </c>
      <c r="F294">
        <v>0</v>
      </c>
      <c r="G294">
        <v>0</v>
      </c>
    </row>
    <row r="295" spans="1:7" x14ac:dyDescent="0.3">
      <c r="A295">
        <v>65</v>
      </c>
      <c r="B295">
        <v>115</v>
      </c>
      <c r="C295">
        <v>0</v>
      </c>
      <c r="D295">
        <v>0</v>
      </c>
      <c r="E295">
        <v>93</v>
      </c>
      <c r="F295">
        <v>0</v>
      </c>
      <c r="G295">
        <v>1</v>
      </c>
    </row>
    <row r="296" spans="1:7" x14ac:dyDescent="0.3">
      <c r="A296">
        <v>32</v>
      </c>
      <c r="B296">
        <v>95</v>
      </c>
      <c r="C296">
        <v>0</v>
      </c>
      <c r="D296">
        <v>1</v>
      </c>
      <c r="E296">
        <v>127</v>
      </c>
      <c r="F296">
        <v>0.7</v>
      </c>
      <c r="G296">
        <v>1</v>
      </c>
    </row>
    <row r="297" spans="1:7" x14ac:dyDescent="0.3">
      <c r="A297">
        <v>61</v>
      </c>
      <c r="B297">
        <v>105</v>
      </c>
      <c r="C297">
        <v>0</v>
      </c>
      <c r="D297">
        <v>1</v>
      </c>
      <c r="E297">
        <v>110</v>
      </c>
      <c r="F297">
        <v>1.5</v>
      </c>
      <c r="G297">
        <v>1</v>
      </c>
    </row>
    <row r="298" spans="1:7" x14ac:dyDescent="0.3">
      <c r="A298">
        <v>50</v>
      </c>
      <c r="B298">
        <v>145</v>
      </c>
      <c r="C298">
        <v>0</v>
      </c>
      <c r="D298">
        <v>1</v>
      </c>
      <c r="E298">
        <v>139</v>
      </c>
      <c r="F298">
        <v>0.7</v>
      </c>
      <c r="G298">
        <v>1</v>
      </c>
    </row>
    <row r="299" spans="1:7" x14ac:dyDescent="0.3">
      <c r="A299">
        <v>57</v>
      </c>
      <c r="B299">
        <v>110</v>
      </c>
      <c r="C299">
        <v>0</v>
      </c>
      <c r="D299">
        <v>1</v>
      </c>
      <c r="E299">
        <v>131</v>
      </c>
      <c r="F299">
        <v>1.4</v>
      </c>
      <c r="G299">
        <v>1</v>
      </c>
    </row>
    <row r="300" spans="1:7" x14ac:dyDescent="0.3">
      <c r="A300">
        <v>51</v>
      </c>
      <c r="B300">
        <v>110</v>
      </c>
      <c r="C300">
        <v>0</v>
      </c>
      <c r="D300">
        <v>1</v>
      </c>
      <c r="E300">
        <v>92</v>
      </c>
      <c r="F300">
        <v>0</v>
      </c>
      <c r="G300">
        <v>1</v>
      </c>
    </row>
    <row r="301" spans="1:7" x14ac:dyDescent="0.3">
      <c r="A301">
        <v>47</v>
      </c>
      <c r="B301">
        <v>110</v>
      </c>
      <c r="C301">
        <v>0</v>
      </c>
      <c r="D301">
        <v>1</v>
      </c>
      <c r="E301">
        <v>149</v>
      </c>
      <c r="F301">
        <v>2.1</v>
      </c>
      <c r="G301">
        <v>1</v>
      </c>
    </row>
    <row r="302" spans="1:7" x14ac:dyDescent="0.3">
      <c r="A302">
        <v>60</v>
      </c>
      <c r="B302">
        <v>160</v>
      </c>
      <c r="C302">
        <v>0</v>
      </c>
      <c r="D302">
        <v>1</v>
      </c>
      <c r="E302">
        <v>149</v>
      </c>
      <c r="F302">
        <v>0.4</v>
      </c>
      <c r="G302">
        <v>1</v>
      </c>
    </row>
    <row r="303" spans="1:7" x14ac:dyDescent="0.3">
      <c r="A303">
        <v>55</v>
      </c>
      <c r="B303">
        <v>140</v>
      </c>
      <c r="C303">
        <v>0</v>
      </c>
      <c r="D303">
        <v>0</v>
      </c>
      <c r="E303">
        <v>150</v>
      </c>
      <c r="F303">
        <v>0.2</v>
      </c>
      <c r="G303">
        <v>0</v>
      </c>
    </row>
    <row r="304" spans="1:7" x14ac:dyDescent="0.3">
      <c r="A304">
        <v>53</v>
      </c>
      <c r="B304">
        <v>125</v>
      </c>
      <c r="C304">
        <v>0</v>
      </c>
      <c r="D304">
        <v>1</v>
      </c>
      <c r="E304">
        <v>120</v>
      </c>
      <c r="F304">
        <v>1.5</v>
      </c>
      <c r="G304">
        <v>1</v>
      </c>
    </row>
    <row r="305" spans="1:7" x14ac:dyDescent="0.3">
      <c r="A305">
        <v>62</v>
      </c>
      <c r="B305">
        <v>120</v>
      </c>
      <c r="C305">
        <v>0</v>
      </c>
      <c r="D305">
        <v>1</v>
      </c>
      <c r="E305">
        <v>123</v>
      </c>
      <c r="F305">
        <v>1.7</v>
      </c>
      <c r="G305">
        <v>1</v>
      </c>
    </row>
    <row r="306" spans="1:7" x14ac:dyDescent="0.3">
      <c r="A306">
        <v>51</v>
      </c>
      <c r="B306">
        <v>95</v>
      </c>
      <c r="C306">
        <v>0</v>
      </c>
      <c r="D306">
        <v>1</v>
      </c>
      <c r="E306">
        <v>126</v>
      </c>
      <c r="F306">
        <v>2.2000000000000002</v>
      </c>
      <c r="G306">
        <v>1</v>
      </c>
    </row>
    <row r="307" spans="1:7" x14ac:dyDescent="0.3">
      <c r="A307">
        <v>51</v>
      </c>
      <c r="B307">
        <v>120</v>
      </c>
      <c r="C307">
        <v>0</v>
      </c>
      <c r="D307">
        <v>1</v>
      </c>
      <c r="E307">
        <v>127</v>
      </c>
      <c r="F307">
        <v>1.5</v>
      </c>
      <c r="G307">
        <v>1</v>
      </c>
    </row>
    <row r="308" spans="1:7" x14ac:dyDescent="0.3">
      <c r="A308">
        <v>55</v>
      </c>
      <c r="B308">
        <v>115</v>
      </c>
      <c r="C308">
        <v>0</v>
      </c>
      <c r="D308">
        <v>1</v>
      </c>
      <c r="E308">
        <v>155</v>
      </c>
      <c r="F308">
        <v>0.1</v>
      </c>
      <c r="G308">
        <v>1</v>
      </c>
    </row>
    <row r="309" spans="1:7" x14ac:dyDescent="0.3">
      <c r="A309">
        <v>53</v>
      </c>
      <c r="B309">
        <v>130</v>
      </c>
      <c r="C309">
        <v>0</v>
      </c>
      <c r="D309">
        <v>0</v>
      </c>
      <c r="E309">
        <v>120</v>
      </c>
      <c r="F309">
        <v>0.7</v>
      </c>
      <c r="G309">
        <v>0</v>
      </c>
    </row>
    <row r="310" spans="1:7" x14ac:dyDescent="0.3">
      <c r="A310">
        <v>58</v>
      </c>
      <c r="B310">
        <v>115</v>
      </c>
      <c r="C310">
        <v>0</v>
      </c>
      <c r="D310">
        <v>1</v>
      </c>
      <c r="E310">
        <v>138</v>
      </c>
      <c r="F310">
        <v>0.5</v>
      </c>
      <c r="G310">
        <v>1</v>
      </c>
    </row>
    <row r="311" spans="1:7" x14ac:dyDescent="0.3">
      <c r="A311">
        <v>57</v>
      </c>
      <c r="B311">
        <v>95</v>
      </c>
      <c r="C311">
        <v>0</v>
      </c>
      <c r="D311">
        <v>1</v>
      </c>
      <c r="E311">
        <v>182</v>
      </c>
      <c r="F311">
        <v>0.7</v>
      </c>
      <c r="G311">
        <v>1</v>
      </c>
    </row>
    <row r="312" spans="1:7" x14ac:dyDescent="0.3">
      <c r="A312">
        <v>65</v>
      </c>
      <c r="B312">
        <v>155</v>
      </c>
      <c r="C312">
        <v>0</v>
      </c>
      <c r="D312">
        <v>0</v>
      </c>
      <c r="E312">
        <v>154</v>
      </c>
      <c r="F312">
        <v>1</v>
      </c>
      <c r="G312">
        <v>0</v>
      </c>
    </row>
    <row r="313" spans="1:7" x14ac:dyDescent="0.3">
      <c r="A313">
        <v>60</v>
      </c>
      <c r="B313">
        <v>125</v>
      </c>
      <c r="C313">
        <v>0</v>
      </c>
      <c r="D313">
        <v>1</v>
      </c>
      <c r="E313">
        <v>110</v>
      </c>
      <c r="F313">
        <v>0.1</v>
      </c>
      <c r="G313">
        <v>1</v>
      </c>
    </row>
    <row r="314" spans="1:7" x14ac:dyDescent="0.3">
      <c r="A314">
        <v>41</v>
      </c>
      <c r="B314">
        <v>125</v>
      </c>
      <c r="C314">
        <v>0</v>
      </c>
      <c r="D314">
        <v>1</v>
      </c>
      <c r="E314">
        <v>176</v>
      </c>
      <c r="F314">
        <v>1.6</v>
      </c>
      <c r="G314">
        <v>1</v>
      </c>
    </row>
    <row r="315" spans="1:7" x14ac:dyDescent="0.3">
      <c r="A315">
        <v>34</v>
      </c>
      <c r="B315">
        <v>115</v>
      </c>
      <c r="C315">
        <v>0</v>
      </c>
      <c r="D315">
        <v>1</v>
      </c>
      <c r="E315">
        <v>154</v>
      </c>
      <c r="F315">
        <v>0.2</v>
      </c>
      <c r="G315">
        <v>1</v>
      </c>
    </row>
    <row r="316" spans="1:7" x14ac:dyDescent="0.3">
      <c r="A316">
        <v>53</v>
      </c>
      <c r="B316">
        <v>80</v>
      </c>
      <c r="C316">
        <v>0</v>
      </c>
      <c r="D316">
        <v>0</v>
      </c>
      <c r="E316">
        <v>141</v>
      </c>
      <c r="F316">
        <v>2</v>
      </c>
      <c r="G316">
        <v>0</v>
      </c>
    </row>
    <row r="317" spans="1:7" x14ac:dyDescent="0.3">
      <c r="A317">
        <v>74</v>
      </c>
      <c r="B317">
        <v>145</v>
      </c>
      <c r="C317">
        <v>0</v>
      </c>
      <c r="D317">
        <v>1</v>
      </c>
      <c r="E317">
        <v>123</v>
      </c>
      <c r="F317">
        <v>1.3</v>
      </c>
      <c r="G317">
        <v>1</v>
      </c>
    </row>
    <row r="318" spans="1:7" x14ac:dyDescent="0.3">
      <c r="A318">
        <v>57</v>
      </c>
      <c r="B318">
        <v>105</v>
      </c>
      <c r="C318">
        <v>0</v>
      </c>
      <c r="D318">
        <v>1</v>
      </c>
      <c r="E318">
        <v>148</v>
      </c>
      <c r="F318">
        <v>0.3</v>
      </c>
      <c r="G318">
        <v>1</v>
      </c>
    </row>
    <row r="319" spans="1:7" x14ac:dyDescent="0.3">
      <c r="A319">
        <v>56</v>
      </c>
      <c r="B319">
        <v>140</v>
      </c>
      <c r="C319">
        <v>0</v>
      </c>
      <c r="D319">
        <v>1</v>
      </c>
      <c r="E319">
        <v>121</v>
      </c>
      <c r="F319">
        <v>1.8</v>
      </c>
      <c r="G319">
        <v>1</v>
      </c>
    </row>
    <row r="320" spans="1:7" x14ac:dyDescent="0.3">
      <c r="A320">
        <v>61</v>
      </c>
      <c r="B320">
        <v>130</v>
      </c>
      <c r="C320">
        <v>0</v>
      </c>
      <c r="D320">
        <v>1</v>
      </c>
      <c r="E320">
        <v>77</v>
      </c>
      <c r="F320">
        <v>2.5</v>
      </c>
      <c r="G320">
        <v>1</v>
      </c>
    </row>
    <row r="321" spans="1:7" x14ac:dyDescent="0.3">
      <c r="A321">
        <v>68</v>
      </c>
      <c r="B321">
        <v>145</v>
      </c>
      <c r="C321">
        <v>0</v>
      </c>
      <c r="D321">
        <v>1</v>
      </c>
      <c r="E321">
        <v>136</v>
      </c>
      <c r="F321">
        <v>1.8</v>
      </c>
      <c r="G321">
        <v>1</v>
      </c>
    </row>
    <row r="322" spans="1:7" x14ac:dyDescent="0.3">
      <c r="A322">
        <v>59</v>
      </c>
      <c r="B322">
        <v>125</v>
      </c>
      <c r="C322">
        <v>0</v>
      </c>
      <c r="D322">
        <v>1</v>
      </c>
      <c r="E322">
        <v>175</v>
      </c>
      <c r="F322">
        <v>2.6</v>
      </c>
      <c r="G322">
        <v>1</v>
      </c>
    </row>
    <row r="323" spans="1:7" x14ac:dyDescent="0.3">
      <c r="A323">
        <v>63</v>
      </c>
      <c r="B323">
        <v>100</v>
      </c>
      <c r="C323">
        <v>0</v>
      </c>
      <c r="D323">
        <v>1</v>
      </c>
      <c r="E323">
        <v>109</v>
      </c>
      <c r="F323">
        <v>-0.9</v>
      </c>
      <c r="G323">
        <v>1</v>
      </c>
    </row>
    <row r="324" spans="1:7" x14ac:dyDescent="0.3">
      <c r="A324">
        <v>38</v>
      </c>
      <c r="B324">
        <v>105</v>
      </c>
      <c r="C324">
        <v>0</v>
      </c>
      <c r="D324">
        <v>1</v>
      </c>
      <c r="E324">
        <v>166</v>
      </c>
      <c r="F324">
        <v>2.8</v>
      </c>
      <c r="G324">
        <v>1</v>
      </c>
    </row>
    <row r="325" spans="1:7" x14ac:dyDescent="0.3">
      <c r="A325">
        <v>62</v>
      </c>
      <c r="B325">
        <v>115</v>
      </c>
      <c r="C325">
        <v>0</v>
      </c>
      <c r="D325">
        <v>1</v>
      </c>
      <c r="E325">
        <v>128</v>
      </c>
      <c r="F325">
        <v>2.5</v>
      </c>
      <c r="G325">
        <v>1</v>
      </c>
    </row>
    <row r="326" spans="1:7" x14ac:dyDescent="0.3">
      <c r="A326">
        <v>46</v>
      </c>
      <c r="B326">
        <v>100</v>
      </c>
      <c r="C326">
        <v>0</v>
      </c>
      <c r="D326">
        <v>1</v>
      </c>
      <c r="E326">
        <v>133</v>
      </c>
      <c r="F326">
        <v>-2.6</v>
      </c>
      <c r="G326">
        <v>1</v>
      </c>
    </row>
    <row r="327" spans="1:7" x14ac:dyDescent="0.3">
      <c r="A327">
        <v>42</v>
      </c>
      <c r="B327">
        <v>105</v>
      </c>
      <c r="C327">
        <v>0</v>
      </c>
      <c r="D327">
        <v>1</v>
      </c>
      <c r="E327">
        <v>128</v>
      </c>
      <c r="F327">
        <v>-1.5</v>
      </c>
      <c r="G327">
        <v>1</v>
      </c>
    </row>
    <row r="328" spans="1:7" x14ac:dyDescent="0.3">
      <c r="A328">
        <v>45</v>
      </c>
      <c r="B328">
        <v>110</v>
      </c>
      <c r="C328">
        <v>0</v>
      </c>
      <c r="D328">
        <v>0</v>
      </c>
      <c r="E328">
        <v>138</v>
      </c>
      <c r="F328">
        <v>-0.1</v>
      </c>
      <c r="G328">
        <v>0</v>
      </c>
    </row>
    <row r="329" spans="1:7" x14ac:dyDescent="0.3">
      <c r="A329">
        <v>59</v>
      </c>
      <c r="B329">
        <v>125</v>
      </c>
      <c r="C329">
        <v>0</v>
      </c>
      <c r="D329">
        <v>1</v>
      </c>
      <c r="E329">
        <v>119</v>
      </c>
      <c r="F329">
        <v>0.9</v>
      </c>
      <c r="G329">
        <v>1</v>
      </c>
    </row>
    <row r="330" spans="1:7" x14ac:dyDescent="0.3">
      <c r="A330">
        <v>52</v>
      </c>
      <c r="B330">
        <v>95</v>
      </c>
      <c r="C330">
        <v>0</v>
      </c>
      <c r="D330">
        <v>1</v>
      </c>
      <c r="E330">
        <v>82</v>
      </c>
      <c r="F330">
        <v>0.8</v>
      </c>
      <c r="G330">
        <v>1</v>
      </c>
    </row>
    <row r="331" spans="1:7" x14ac:dyDescent="0.3">
      <c r="A331">
        <v>60</v>
      </c>
      <c r="B331">
        <v>130</v>
      </c>
      <c r="C331">
        <v>0</v>
      </c>
      <c r="D331">
        <v>1</v>
      </c>
      <c r="E331">
        <v>130</v>
      </c>
      <c r="F331">
        <v>1.1000000000000001</v>
      </c>
      <c r="G331">
        <v>1</v>
      </c>
    </row>
    <row r="332" spans="1:7" x14ac:dyDescent="0.3">
      <c r="A332">
        <v>60</v>
      </c>
      <c r="B332">
        <v>115</v>
      </c>
      <c r="C332">
        <v>0</v>
      </c>
      <c r="D332">
        <v>1</v>
      </c>
      <c r="E332">
        <v>143</v>
      </c>
      <c r="F332">
        <v>2.4</v>
      </c>
      <c r="G332">
        <v>1</v>
      </c>
    </row>
    <row r="333" spans="1:7" x14ac:dyDescent="0.3">
      <c r="A333">
        <v>56</v>
      </c>
      <c r="B333">
        <v>115</v>
      </c>
      <c r="C333">
        <v>0</v>
      </c>
      <c r="D333">
        <v>1</v>
      </c>
      <c r="E333">
        <v>82</v>
      </c>
      <c r="F333">
        <v>-1</v>
      </c>
      <c r="G333">
        <v>1</v>
      </c>
    </row>
    <row r="334" spans="1:7" x14ac:dyDescent="0.3">
      <c r="A334">
        <v>38</v>
      </c>
      <c r="B334">
        <v>100</v>
      </c>
      <c r="C334">
        <v>0</v>
      </c>
      <c r="D334">
        <v>0</v>
      </c>
      <c r="E334">
        <v>179</v>
      </c>
      <c r="F334">
        <v>-1.1000000000000001</v>
      </c>
      <c r="G334">
        <v>0</v>
      </c>
    </row>
    <row r="335" spans="1:7" x14ac:dyDescent="0.3">
      <c r="A335">
        <v>40</v>
      </c>
      <c r="B335">
        <v>95</v>
      </c>
      <c r="C335">
        <v>0</v>
      </c>
      <c r="D335">
        <v>1</v>
      </c>
      <c r="E335">
        <v>144</v>
      </c>
      <c r="F335">
        <v>0</v>
      </c>
      <c r="G335">
        <v>1</v>
      </c>
    </row>
    <row r="336" spans="1:7" x14ac:dyDescent="0.3">
      <c r="A336">
        <v>51</v>
      </c>
      <c r="B336">
        <v>130</v>
      </c>
      <c r="C336">
        <v>0</v>
      </c>
      <c r="D336">
        <v>1</v>
      </c>
      <c r="E336">
        <v>170</v>
      </c>
      <c r="F336">
        <v>-0.7</v>
      </c>
      <c r="G336">
        <v>1</v>
      </c>
    </row>
    <row r="337" spans="1:7" x14ac:dyDescent="0.3">
      <c r="A337">
        <v>62</v>
      </c>
      <c r="B337">
        <v>120</v>
      </c>
      <c r="C337">
        <v>0</v>
      </c>
      <c r="D337">
        <v>1</v>
      </c>
      <c r="E337">
        <v>134</v>
      </c>
      <c r="F337">
        <v>-0.8</v>
      </c>
      <c r="G337">
        <v>1</v>
      </c>
    </row>
    <row r="338" spans="1:7" x14ac:dyDescent="0.3">
      <c r="A338">
        <v>72</v>
      </c>
      <c r="B338">
        <v>160</v>
      </c>
      <c r="C338">
        <v>0</v>
      </c>
      <c r="D338">
        <v>0</v>
      </c>
      <c r="E338">
        <v>114</v>
      </c>
      <c r="F338">
        <v>1.6</v>
      </c>
      <c r="G338">
        <v>0</v>
      </c>
    </row>
    <row r="339" spans="1:7" x14ac:dyDescent="0.3">
      <c r="A339">
        <v>63</v>
      </c>
      <c r="B339">
        <v>150</v>
      </c>
      <c r="C339">
        <v>0</v>
      </c>
      <c r="D339">
        <v>1</v>
      </c>
      <c r="E339">
        <v>154</v>
      </c>
      <c r="F339">
        <v>3.7</v>
      </c>
      <c r="G339">
        <v>1</v>
      </c>
    </row>
    <row r="340" spans="1:7" x14ac:dyDescent="0.3">
      <c r="A340">
        <v>63</v>
      </c>
      <c r="B340">
        <v>140</v>
      </c>
      <c r="C340">
        <v>0</v>
      </c>
      <c r="D340">
        <v>1</v>
      </c>
      <c r="E340">
        <v>149</v>
      </c>
      <c r="F340">
        <v>2</v>
      </c>
      <c r="G340">
        <v>1</v>
      </c>
    </row>
    <row r="341" spans="1:7" x14ac:dyDescent="0.3">
      <c r="A341">
        <v>64</v>
      </c>
      <c r="B341">
        <v>95</v>
      </c>
      <c r="C341">
        <v>0</v>
      </c>
      <c r="D341">
        <v>1</v>
      </c>
      <c r="E341">
        <v>145</v>
      </c>
      <c r="F341">
        <v>1.1000000000000001</v>
      </c>
      <c r="G341">
        <v>1</v>
      </c>
    </row>
    <row r="342" spans="1:7" x14ac:dyDescent="0.3">
      <c r="A342">
        <v>43</v>
      </c>
      <c r="B342">
        <v>100</v>
      </c>
      <c r="C342">
        <v>0</v>
      </c>
      <c r="D342">
        <v>1</v>
      </c>
      <c r="E342">
        <v>122</v>
      </c>
      <c r="F342">
        <v>1.5</v>
      </c>
      <c r="G342">
        <v>1</v>
      </c>
    </row>
    <row r="343" spans="1:7" x14ac:dyDescent="0.3">
      <c r="A343">
        <v>64</v>
      </c>
      <c r="B343">
        <v>110</v>
      </c>
      <c r="C343">
        <v>0</v>
      </c>
      <c r="D343">
        <v>1</v>
      </c>
      <c r="E343">
        <v>114</v>
      </c>
      <c r="F343">
        <v>1.3</v>
      </c>
      <c r="G343">
        <v>1</v>
      </c>
    </row>
    <row r="344" spans="1:7" x14ac:dyDescent="0.3">
      <c r="A344">
        <v>61</v>
      </c>
      <c r="B344">
        <v>110</v>
      </c>
      <c r="C344">
        <v>0</v>
      </c>
      <c r="D344">
        <v>1</v>
      </c>
      <c r="E344">
        <v>113</v>
      </c>
      <c r="F344">
        <v>1.4</v>
      </c>
      <c r="G344">
        <v>1</v>
      </c>
    </row>
    <row r="345" spans="1:7" x14ac:dyDescent="0.3">
      <c r="A345">
        <v>52</v>
      </c>
      <c r="B345">
        <v>130</v>
      </c>
      <c r="C345">
        <v>0</v>
      </c>
      <c r="D345">
        <v>1</v>
      </c>
      <c r="E345">
        <v>120</v>
      </c>
      <c r="F345">
        <v>0</v>
      </c>
      <c r="G345">
        <v>1</v>
      </c>
    </row>
    <row r="346" spans="1:7" x14ac:dyDescent="0.3">
      <c r="A346">
        <v>51</v>
      </c>
      <c r="B346">
        <v>120</v>
      </c>
      <c r="C346">
        <v>0</v>
      </c>
      <c r="D346">
        <v>1</v>
      </c>
      <c r="E346">
        <v>104</v>
      </c>
      <c r="F346">
        <v>0</v>
      </c>
      <c r="G346">
        <v>1</v>
      </c>
    </row>
    <row r="347" spans="1:7" x14ac:dyDescent="0.3">
      <c r="A347">
        <v>69</v>
      </c>
      <c r="B347">
        <v>135</v>
      </c>
      <c r="C347">
        <v>0</v>
      </c>
      <c r="D347">
        <v>0</v>
      </c>
      <c r="E347">
        <v>130</v>
      </c>
      <c r="F347">
        <v>0</v>
      </c>
      <c r="G347">
        <v>1</v>
      </c>
    </row>
    <row r="348" spans="1:7" x14ac:dyDescent="0.3">
      <c r="A348">
        <v>59</v>
      </c>
      <c r="B348">
        <v>120</v>
      </c>
      <c r="C348">
        <v>0</v>
      </c>
      <c r="D348">
        <v>0</v>
      </c>
      <c r="E348">
        <v>115</v>
      </c>
      <c r="F348">
        <v>0</v>
      </c>
      <c r="G348">
        <v>1</v>
      </c>
    </row>
    <row r="349" spans="1:7" x14ac:dyDescent="0.3">
      <c r="A349">
        <v>48</v>
      </c>
      <c r="B349">
        <v>115</v>
      </c>
      <c r="C349">
        <v>0</v>
      </c>
      <c r="D349">
        <v>1</v>
      </c>
      <c r="E349">
        <v>128</v>
      </c>
      <c r="F349">
        <v>0</v>
      </c>
      <c r="G349">
        <v>1</v>
      </c>
    </row>
    <row r="350" spans="1:7" x14ac:dyDescent="0.3">
      <c r="A350">
        <v>69</v>
      </c>
      <c r="B350">
        <v>137</v>
      </c>
      <c r="C350">
        <v>0</v>
      </c>
      <c r="D350">
        <v>0</v>
      </c>
      <c r="E350">
        <v>104</v>
      </c>
      <c r="F350">
        <v>1.6</v>
      </c>
      <c r="G350">
        <v>1</v>
      </c>
    </row>
    <row r="351" spans="1:7" x14ac:dyDescent="0.3">
      <c r="A351">
        <v>36</v>
      </c>
      <c r="B351">
        <v>110</v>
      </c>
      <c r="C351">
        <v>0</v>
      </c>
      <c r="D351">
        <v>1</v>
      </c>
      <c r="E351">
        <v>125</v>
      </c>
      <c r="F351">
        <v>1</v>
      </c>
      <c r="G351">
        <v>1</v>
      </c>
    </row>
    <row r="352" spans="1:7" x14ac:dyDescent="0.3">
      <c r="A352">
        <v>53</v>
      </c>
      <c r="B352">
        <v>120</v>
      </c>
      <c r="C352">
        <v>0</v>
      </c>
      <c r="D352">
        <v>1</v>
      </c>
      <c r="E352">
        <v>120</v>
      </c>
      <c r="F352">
        <v>0</v>
      </c>
      <c r="G352">
        <v>1</v>
      </c>
    </row>
    <row r="353" spans="1:7" x14ac:dyDescent="0.3">
      <c r="A353">
        <v>43</v>
      </c>
      <c r="B353">
        <v>140</v>
      </c>
      <c r="C353">
        <v>0</v>
      </c>
      <c r="D353">
        <v>0</v>
      </c>
      <c r="E353">
        <v>140</v>
      </c>
      <c r="F353">
        <v>0.5</v>
      </c>
      <c r="G353">
        <v>1</v>
      </c>
    </row>
    <row r="354" spans="1:7" x14ac:dyDescent="0.3">
      <c r="A354">
        <v>56</v>
      </c>
      <c r="B354">
        <v>120</v>
      </c>
      <c r="C354">
        <v>0</v>
      </c>
      <c r="D354">
        <v>0</v>
      </c>
      <c r="E354">
        <v>100</v>
      </c>
      <c r="F354">
        <v>-1</v>
      </c>
      <c r="G354">
        <v>1</v>
      </c>
    </row>
    <row r="355" spans="1:7" x14ac:dyDescent="0.3">
      <c r="A355">
        <v>58</v>
      </c>
      <c r="B355">
        <v>130</v>
      </c>
      <c r="C355">
        <v>0</v>
      </c>
      <c r="D355">
        <v>0</v>
      </c>
      <c r="E355">
        <v>100</v>
      </c>
      <c r="F355">
        <v>1</v>
      </c>
      <c r="G355">
        <v>1</v>
      </c>
    </row>
    <row r="356" spans="1:7" x14ac:dyDescent="0.3">
      <c r="A356">
        <v>55</v>
      </c>
      <c r="B356">
        <v>120</v>
      </c>
      <c r="C356">
        <v>0</v>
      </c>
      <c r="D356">
        <v>0</v>
      </c>
      <c r="E356">
        <v>92</v>
      </c>
      <c r="F356">
        <v>0.3</v>
      </c>
      <c r="G356">
        <v>1</v>
      </c>
    </row>
    <row r="357" spans="1:7" x14ac:dyDescent="0.3">
      <c r="A357">
        <v>67</v>
      </c>
      <c r="B357">
        <v>145</v>
      </c>
      <c r="C357">
        <v>0</v>
      </c>
      <c r="D357">
        <v>0</v>
      </c>
      <c r="E357">
        <v>125</v>
      </c>
      <c r="F357">
        <v>0</v>
      </c>
      <c r="G357">
        <v>1</v>
      </c>
    </row>
    <row r="358" spans="1:7" x14ac:dyDescent="0.3">
      <c r="A358">
        <v>46</v>
      </c>
      <c r="B358">
        <v>115</v>
      </c>
      <c r="C358">
        <v>0</v>
      </c>
      <c r="D358">
        <v>0</v>
      </c>
      <c r="E358">
        <v>113</v>
      </c>
      <c r="F358">
        <v>1.5</v>
      </c>
      <c r="G358">
        <v>1</v>
      </c>
    </row>
    <row r="359" spans="1:7" x14ac:dyDescent="0.3">
      <c r="A359">
        <v>53</v>
      </c>
      <c r="B359">
        <v>120</v>
      </c>
      <c r="C359">
        <v>0</v>
      </c>
      <c r="D359">
        <v>0</v>
      </c>
      <c r="E359">
        <v>95</v>
      </c>
      <c r="F359">
        <v>0</v>
      </c>
      <c r="G359">
        <v>1</v>
      </c>
    </row>
    <row r="360" spans="1:7" x14ac:dyDescent="0.3">
      <c r="A360">
        <v>38</v>
      </c>
      <c r="B360">
        <v>115</v>
      </c>
      <c r="C360">
        <v>0</v>
      </c>
      <c r="D360">
        <v>0</v>
      </c>
      <c r="E360">
        <v>128</v>
      </c>
      <c r="F360">
        <v>0</v>
      </c>
      <c r="G360">
        <v>1</v>
      </c>
    </row>
    <row r="361" spans="1:7" x14ac:dyDescent="0.3">
      <c r="A361">
        <v>53</v>
      </c>
      <c r="B361">
        <v>105</v>
      </c>
      <c r="C361">
        <v>0</v>
      </c>
      <c r="D361">
        <v>0</v>
      </c>
      <c r="E361">
        <v>115</v>
      </c>
      <c r="F361">
        <v>0</v>
      </c>
      <c r="G361">
        <v>1</v>
      </c>
    </row>
    <row r="362" spans="1:7" x14ac:dyDescent="0.3">
      <c r="A362">
        <v>62</v>
      </c>
      <c r="B362">
        <v>160</v>
      </c>
      <c r="C362">
        <v>0</v>
      </c>
      <c r="D362">
        <v>0</v>
      </c>
      <c r="E362">
        <v>72</v>
      </c>
      <c r="F362">
        <v>0</v>
      </c>
      <c r="G362">
        <v>1</v>
      </c>
    </row>
    <row r="363" spans="1:7" x14ac:dyDescent="0.3">
      <c r="A363">
        <v>47</v>
      </c>
      <c r="B363">
        <v>160</v>
      </c>
      <c r="C363">
        <v>0</v>
      </c>
      <c r="D363">
        <v>0</v>
      </c>
      <c r="E363">
        <v>124</v>
      </c>
      <c r="F363">
        <v>0</v>
      </c>
      <c r="G363">
        <v>1</v>
      </c>
    </row>
    <row r="364" spans="1:7" x14ac:dyDescent="0.3">
      <c r="A364">
        <v>56</v>
      </c>
      <c r="B364">
        <v>155</v>
      </c>
      <c r="C364">
        <v>0</v>
      </c>
      <c r="D364">
        <v>0</v>
      </c>
      <c r="E364">
        <v>99</v>
      </c>
      <c r="F364">
        <v>0</v>
      </c>
      <c r="G364">
        <v>1</v>
      </c>
    </row>
    <row r="365" spans="1:7" x14ac:dyDescent="0.3">
      <c r="A365">
        <v>56</v>
      </c>
      <c r="B365">
        <v>120</v>
      </c>
      <c r="C365">
        <v>0</v>
      </c>
      <c r="D365">
        <v>0</v>
      </c>
      <c r="E365">
        <v>148</v>
      </c>
      <c r="F365">
        <v>0</v>
      </c>
      <c r="G365">
        <v>1</v>
      </c>
    </row>
    <row r="366" spans="1:7" x14ac:dyDescent="0.3">
      <c r="A366">
        <v>56</v>
      </c>
      <c r="B366">
        <v>120</v>
      </c>
      <c r="C366">
        <v>0</v>
      </c>
      <c r="D366">
        <v>0</v>
      </c>
      <c r="E366">
        <v>97</v>
      </c>
      <c r="F366">
        <v>0</v>
      </c>
      <c r="G366">
        <v>0</v>
      </c>
    </row>
    <row r="367" spans="1:7" x14ac:dyDescent="0.3">
      <c r="A367">
        <v>64</v>
      </c>
      <c r="B367">
        <v>200</v>
      </c>
      <c r="C367">
        <v>0</v>
      </c>
      <c r="D367">
        <v>0</v>
      </c>
      <c r="E367">
        <v>140</v>
      </c>
      <c r="F367">
        <v>1</v>
      </c>
      <c r="G367">
        <v>1</v>
      </c>
    </row>
    <row r="368" spans="1:7" x14ac:dyDescent="0.3">
      <c r="A368">
        <v>61</v>
      </c>
      <c r="B368">
        <v>150</v>
      </c>
      <c r="C368">
        <v>0</v>
      </c>
      <c r="D368">
        <v>0</v>
      </c>
      <c r="E368">
        <v>117</v>
      </c>
      <c r="F368">
        <v>2</v>
      </c>
      <c r="G368">
        <v>1</v>
      </c>
    </row>
    <row r="369" spans="1:7" x14ac:dyDescent="0.3">
      <c r="A369">
        <v>68</v>
      </c>
      <c r="B369">
        <v>135</v>
      </c>
      <c r="C369">
        <v>0</v>
      </c>
      <c r="D369">
        <v>0</v>
      </c>
      <c r="E369">
        <v>120</v>
      </c>
      <c r="F369">
        <v>0</v>
      </c>
      <c r="G369">
        <v>1</v>
      </c>
    </row>
    <row r="370" spans="1:7" x14ac:dyDescent="0.3">
      <c r="A370">
        <v>57</v>
      </c>
      <c r="B370">
        <v>140</v>
      </c>
      <c r="C370">
        <v>0</v>
      </c>
      <c r="D370">
        <v>0</v>
      </c>
      <c r="E370">
        <v>120</v>
      </c>
      <c r="F370">
        <v>2</v>
      </c>
      <c r="G370">
        <v>1</v>
      </c>
    </row>
    <row r="371" spans="1:7" x14ac:dyDescent="0.3">
      <c r="A371">
        <v>63</v>
      </c>
      <c r="B371">
        <v>150</v>
      </c>
      <c r="C371">
        <v>0</v>
      </c>
      <c r="D371">
        <v>0</v>
      </c>
      <c r="E371">
        <v>86</v>
      </c>
      <c r="F371">
        <v>2</v>
      </c>
      <c r="G371">
        <v>1</v>
      </c>
    </row>
    <row r="372" spans="1:7" x14ac:dyDescent="0.3">
      <c r="A372">
        <v>60</v>
      </c>
      <c r="B372">
        <v>135</v>
      </c>
      <c r="C372">
        <v>0</v>
      </c>
      <c r="D372">
        <v>0</v>
      </c>
      <c r="E372">
        <v>63</v>
      </c>
      <c r="F372">
        <v>0.5</v>
      </c>
      <c r="G372">
        <v>1</v>
      </c>
    </row>
    <row r="373" spans="1:7" x14ac:dyDescent="0.3">
      <c r="A373">
        <v>66</v>
      </c>
      <c r="B373">
        <v>150</v>
      </c>
      <c r="C373">
        <v>0</v>
      </c>
      <c r="D373">
        <v>0</v>
      </c>
      <c r="E373">
        <v>108</v>
      </c>
      <c r="F373">
        <v>2</v>
      </c>
      <c r="G373">
        <v>1</v>
      </c>
    </row>
    <row r="374" spans="1:7" x14ac:dyDescent="0.3">
      <c r="A374">
        <v>63</v>
      </c>
      <c r="B374">
        <v>185</v>
      </c>
      <c r="C374">
        <v>0</v>
      </c>
      <c r="D374">
        <v>0</v>
      </c>
      <c r="E374">
        <v>98</v>
      </c>
      <c r="F374">
        <v>0</v>
      </c>
      <c r="G374">
        <v>1</v>
      </c>
    </row>
    <row r="375" spans="1:7" x14ac:dyDescent="0.3">
      <c r="A375">
        <v>59</v>
      </c>
      <c r="B375">
        <v>135</v>
      </c>
      <c r="C375">
        <v>0</v>
      </c>
      <c r="D375">
        <v>0</v>
      </c>
      <c r="E375">
        <v>115</v>
      </c>
      <c r="F375">
        <v>1</v>
      </c>
      <c r="G375">
        <v>1</v>
      </c>
    </row>
    <row r="376" spans="1:7" x14ac:dyDescent="0.3">
      <c r="A376">
        <v>61</v>
      </c>
      <c r="B376">
        <v>125</v>
      </c>
      <c r="C376">
        <v>0</v>
      </c>
      <c r="D376">
        <v>0</v>
      </c>
      <c r="E376">
        <v>105</v>
      </c>
      <c r="F376">
        <v>0</v>
      </c>
      <c r="G376">
        <v>1</v>
      </c>
    </row>
    <row r="377" spans="1:7" x14ac:dyDescent="0.3">
      <c r="A377">
        <v>73</v>
      </c>
      <c r="B377">
        <v>160</v>
      </c>
      <c r="C377">
        <v>0</v>
      </c>
      <c r="D377">
        <v>0</v>
      </c>
      <c r="E377">
        <v>121</v>
      </c>
      <c r="F377">
        <v>0</v>
      </c>
      <c r="G377">
        <v>1</v>
      </c>
    </row>
    <row r="378" spans="1:7" x14ac:dyDescent="0.3">
      <c r="A378">
        <v>47</v>
      </c>
      <c r="B378">
        <v>155</v>
      </c>
      <c r="C378">
        <v>0</v>
      </c>
      <c r="D378">
        <v>0</v>
      </c>
      <c r="E378">
        <v>118</v>
      </c>
      <c r="F378">
        <v>1</v>
      </c>
      <c r="G378">
        <v>1</v>
      </c>
    </row>
    <row r="379" spans="1:7" x14ac:dyDescent="0.3">
      <c r="A379">
        <v>65</v>
      </c>
      <c r="B379">
        <v>160</v>
      </c>
      <c r="C379">
        <v>0</v>
      </c>
      <c r="D379">
        <v>1</v>
      </c>
      <c r="E379">
        <v>122</v>
      </c>
      <c r="F379">
        <v>1.2</v>
      </c>
      <c r="G379">
        <v>1</v>
      </c>
    </row>
    <row r="380" spans="1:7" x14ac:dyDescent="0.3">
      <c r="A380">
        <v>70</v>
      </c>
      <c r="B380">
        <v>140</v>
      </c>
      <c r="C380">
        <v>0</v>
      </c>
      <c r="D380">
        <v>1</v>
      </c>
      <c r="E380">
        <v>157</v>
      </c>
      <c r="F380">
        <v>2</v>
      </c>
      <c r="G380">
        <v>1</v>
      </c>
    </row>
    <row r="381" spans="1:7" x14ac:dyDescent="0.3">
      <c r="A381">
        <v>50</v>
      </c>
      <c r="B381">
        <v>120</v>
      </c>
      <c r="C381">
        <v>0</v>
      </c>
      <c r="D381">
        <v>0</v>
      </c>
      <c r="E381">
        <v>156</v>
      </c>
      <c r="F381">
        <v>0</v>
      </c>
      <c r="G381">
        <v>1</v>
      </c>
    </row>
    <row r="382" spans="1:7" x14ac:dyDescent="0.3">
      <c r="A382">
        <v>60</v>
      </c>
      <c r="B382">
        <v>160</v>
      </c>
      <c r="C382">
        <v>0</v>
      </c>
      <c r="D382">
        <v>0</v>
      </c>
      <c r="E382">
        <v>99</v>
      </c>
      <c r="F382">
        <v>0.5</v>
      </c>
      <c r="G382">
        <v>1</v>
      </c>
    </row>
    <row r="383" spans="1:7" x14ac:dyDescent="0.3">
      <c r="A383">
        <v>50</v>
      </c>
      <c r="B383">
        <v>115</v>
      </c>
      <c r="C383">
        <v>0</v>
      </c>
      <c r="D383">
        <v>0</v>
      </c>
      <c r="E383">
        <v>120</v>
      </c>
      <c r="F383">
        <v>0.5</v>
      </c>
      <c r="G383">
        <v>1</v>
      </c>
    </row>
    <row r="384" spans="1:7" x14ac:dyDescent="0.3">
      <c r="A384">
        <v>43</v>
      </c>
      <c r="B384">
        <v>115</v>
      </c>
      <c r="C384">
        <v>0</v>
      </c>
      <c r="D384">
        <v>0</v>
      </c>
      <c r="E384">
        <v>145</v>
      </c>
      <c r="F384">
        <v>2</v>
      </c>
      <c r="G384">
        <v>1</v>
      </c>
    </row>
    <row r="385" spans="1:7" x14ac:dyDescent="0.3">
      <c r="A385">
        <v>38</v>
      </c>
      <c r="B385">
        <v>110</v>
      </c>
      <c r="C385">
        <v>0</v>
      </c>
      <c r="D385">
        <v>0</v>
      </c>
      <c r="E385">
        <v>156</v>
      </c>
      <c r="F385">
        <v>0</v>
      </c>
      <c r="G385">
        <v>1</v>
      </c>
    </row>
    <row r="386" spans="1:7" x14ac:dyDescent="0.3">
      <c r="A386">
        <v>54</v>
      </c>
      <c r="B386">
        <v>120</v>
      </c>
      <c r="C386">
        <v>0</v>
      </c>
      <c r="D386">
        <v>0</v>
      </c>
      <c r="E386">
        <v>155</v>
      </c>
      <c r="F386">
        <v>0</v>
      </c>
      <c r="G386">
        <v>1</v>
      </c>
    </row>
    <row r="387" spans="1:7" x14ac:dyDescent="0.3">
      <c r="A387">
        <v>61</v>
      </c>
      <c r="B387">
        <v>150</v>
      </c>
      <c r="C387">
        <v>0</v>
      </c>
      <c r="D387">
        <v>0</v>
      </c>
      <c r="E387">
        <v>105</v>
      </c>
      <c r="F387">
        <v>0</v>
      </c>
      <c r="G387">
        <v>1</v>
      </c>
    </row>
    <row r="388" spans="1:7" x14ac:dyDescent="0.3">
      <c r="A388">
        <v>42</v>
      </c>
      <c r="B388">
        <v>145</v>
      </c>
      <c r="C388">
        <v>0</v>
      </c>
      <c r="D388">
        <v>0</v>
      </c>
      <c r="E388">
        <v>99</v>
      </c>
      <c r="F388">
        <v>0</v>
      </c>
      <c r="G388">
        <v>1</v>
      </c>
    </row>
    <row r="389" spans="1:7" x14ac:dyDescent="0.3">
      <c r="A389">
        <v>53</v>
      </c>
      <c r="B389">
        <v>130</v>
      </c>
      <c r="C389">
        <v>0</v>
      </c>
      <c r="D389">
        <v>0</v>
      </c>
      <c r="E389">
        <v>135</v>
      </c>
      <c r="F389">
        <v>1</v>
      </c>
      <c r="G389">
        <v>1</v>
      </c>
    </row>
    <row r="390" spans="1:7" x14ac:dyDescent="0.3">
      <c r="A390">
        <v>55</v>
      </c>
      <c r="B390">
        <v>140</v>
      </c>
      <c r="C390">
        <v>0</v>
      </c>
      <c r="D390">
        <v>0</v>
      </c>
      <c r="E390">
        <v>83</v>
      </c>
      <c r="F390">
        <v>0</v>
      </c>
      <c r="G390">
        <v>1</v>
      </c>
    </row>
    <row r="391" spans="1:7" x14ac:dyDescent="0.3">
      <c r="A391">
        <v>61</v>
      </c>
      <c r="B391">
        <v>160</v>
      </c>
      <c r="C391">
        <v>0</v>
      </c>
      <c r="D391">
        <v>1</v>
      </c>
      <c r="E391">
        <v>145</v>
      </c>
      <c r="F391">
        <v>1</v>
      </c>
      <c r="G391">
        <v>1</v>
      </c>
    </row>
    <row r="392" spans="1:7" x14ac:dyDescent="0.3">
      <c r="A392">
        <v>51</v>
      </c>
      <c r="B392">
        <v>140</v>
      </c>
      <c r="C392">
        <v>0</v>
      </c>
      <c r="D392">
        <v>0</v>
      </c>
      <c r="E392">
        <v>60</v>
      </c>
      <c r="F392">
        <v>0</v>
      </c>
      <c r="G392">
        <v>1</v>
      </c>
    </row>
    <row r="393" spans="1:7" x14ac:dyDescent="0.3">
      <c r="A393">
        <v>70</v>
      </c>
      <c r="B393">
        <v>115</v>
      </c>
      <c r="C393">
        <v>0</v>
      </c>
      <c r="D393">
        <v>0</v>
      </c>
      <c r="E393">
        <v>92</v>
      </c>
      <c r="F393">
        <v>0</v>
      </c>
      <c r="G393">
        <v>1</v>
      </c>
    </row>
    <row r="394" spans="1:7" x14ac:dyDescent="0.3">
      <c r="A394">
        <v>61</v>
      </c>
      <c r="B394">
        <v>130</v>
      </c>
      <c r="C394">
        <v>0</v>
      </c>
      <c r="D394">
        <v>0</v>
      </c>
      <c r="E394">
        <v>115</v>
      </c>
      <c r="F394">
        <v>0</v>
      </c>
      <c r="G394">
        <v>1</v>
      </c>
    </row>
    <row r="395" spans="1:7" x14ac:dyDescent="0.3">
      <c r="A395">
        <v>38</v>
      </c>
      <c r="B395">
        <v>150</v>
      </c>
      <c r="C395">
        <v>0</v>
      </c>
      <c r="D395">
        <v>1</v>
      </c>
      <c r="E395">
        <v>120</v>
      </c>
      <c r="F395">
        <v>0.7</v>
      </c>
      <c r="G395">
        <v>1</v>
      </c>
    </row>
    <row r="396" spans="1:7" x14ac:dyDescent="0.3">
      <c r="A396">
        <v>57</v>
      </c>
      <c r="B396">
        <v>160</v>
      </c>
      <c r="C396">
        <v>0</v>
      </c>
      <c r="D396">
        <v>1</v>
      </c>
      <c r="E396">
        <v>98</v>
      </c>
      <c r="F396">
        <v>2</v>
      </c>
      <c r="G396">
        <v>1</v>
      </c>
    </row>
    <row r="397" spans="1:7" x14ac:dyDescent="0.3">
      <c r="A397">
        <v>38</v>
      </c>
      <c r="B397">
        <v>135</v>
      </c>
      <c r="C397">
        <v>0</v>
      </c>
      <c r="D397">
        <v>1</v>
      </c>
      <c r="E397">
        <v>150</v>
      </c>
      <c r="F397">
        <v>0</v>
      </c>
      <c r="G397">
        <v>1</v>
      </c>
    </row>
    <row r="398" spans="1:7" x14ac:dyDescent="0.3">
      <c r="A398">
        <v>62</v>
      </c>
      <c r="B398">
        <v>140</v>
      </c>
      <c r="C398">
        <v>0</v>
      </c>
      <c r="D398">
        <v>1</v>
      </c>
      <c r="E398">
        <v>143</v>
      </c>
      <c r="F398">
        <v>0</v>
      </c>
      <c r="G398">
        <v>1</v>
      </c>
    </row>
    <row r="399" spans="1:7" x14ac:dyDescent="0.3">
      <c r="A399">
        <v>58</v>
      </c>
      <c r="B399">
        <v>170</v>
      </c>
      <c r="C399">
        <v>0</v>
      </c>
      <c r="D399">
        <v>1</v>
      </c>
      <c r="E399">
        <v>105</v>
      </c>
      <c r="F399">
        <v>0</v>
      </c>
      <c r="G399">
        <v>1</v>
      </c>
    </row>
    <row r="400" spans="1:7" x14ac:dyDescent="0.3">
      <c r="A400">
        <v>52</v>
      </c>
      <c r="B400">
        <v>165</v>
      </c>
      <c r="C400">
        <v>0</v>
      </c>
      <c r="D400">
        <v>1</v>
      </c>
      <c r="E400">
        <v>122</v>
      </c>
      <c r="F400">
        <v>1</v>
      </c>
      <c r="G400">
        <v>1</v>
      </c>
    </row>
    <row r="401" spans="1:7" x14ac:dyDescent="0.3">
      <c r="A401">
        <v>61</v>
      </c>
      <c r="B401">
        <v>200</v>
      </c>
      <c r="C401">
        <v>0</v>
      </c>
      <c r="D401">
        <v>1</v>
      </c>
      <c r="E401">
        <v>70</v>
      </c>
      <c r="F401">
        <v>0</v>
      </c>
      <c r="G401">
        <v>1</v>
      </c>
    </row>
    <row r="402" spans="1:7" x14ac:dyDescent="0.3">
      <c r="A402">
        <v>50</v>
      </c>
      <c r="B402">
        <v>160</v>
      </c>
      <c r="C402">
        <v>0</v>
      </c>
      <c r="D402">
        <v>1</v>
      </c>
      <c r="E402">
        <v>110</v>
      </c>
      <c r="F402">
        <v>0</v>
      </c>
      <c r="G402">
        <v>1</v>
      </c>
    </row>
    <row r="403" spans="1:7" x14ac:dyDescent="0.3">
      <c r="A403">
        <v>51</v>
      </c>
      <c r="B403">
        <v>130</v>
      </c>
      <c r="C403">
        <v>0</v>
      </c>
      <c r="D403">
        <v>1</v>
      </c>
      <c r="E403">
        <v>163</v>
      </c>
      <c r="F403">
        <v>0</v>
      </c>
      <c r="G403">
        <v>1</v>
      </c>
    </row>
    <row r="404" spans="1:7" x14ac:dyDescent="0.3">
      <c r="A404">
        <v>65</v>
      </c>
      <c r="B404">
        <v>145</v>
      </c>
      <c r="C404">
        <v>0</v>
      </c>
      <c r="D404">
        <v>1</v>
      </c>
      <c r="E404">
        <v>67</v>
      </c>
      <c r="F404">
        <v>0.7</v>
      </c>
      <c r="G404">
        <v>1</v>
      </c>
    </row>
    <row r="405" spans="1:7" x14ac:dyDescent="0.3">
      <c r="A405">
        <v>52</v>
      </c>
      <c r="B405">
        <v>135</v>
      </c>
      <c r="C405">
        <v>0</v>
      </c>
      <c r="D405">
        <v>1</v>
      </c>
      <c r="E405">
        <v>128</v>
      </c>
      <c r="F405">
        <v>2</v>
      </c>
      <c r="G405">
        <v>1</v>
      </c>
    </row>
    <row r="406" spans="1:7" x14ac:dyDescent="0.3">
      <c r="A406">
        <v>47</v>
      </c>
      <c r="B406">
        <v>110</v>
      </c>
      <c r="C406">
        <v>0</v>
      </c>
      <c r="D406">
        <v>1</v>
      </c>
      <c r="E406">
        <v>120</v>
      </c>
      <c r="F406">
        <v>0</v>
      </c>
      <c r="G406">
        <v>1</v>
      </c>
    </row>
    <row r="407" spans="1:7" x14ac:dyDescent="0.3">
      <c r="A407">
        <v>35</v>
      </c>
      <c r="B407">
        <v>120</v>
      </c>
      <c r="C407">
        <v>0</v>
      </c>
      <c r="D407">
        <v>1</v>
      </c>
      <c r="E407">
        <v>130</v>
      </c>
      <c r="F407">
        <v>1.2</v>
      </c>
      <c r="G407">
        <v>1</v>
      </c>
    </row>
    <row r="408" spans="1:7" x14ac:dyDescent="0.3">
      <c r="A408">
        <v>57</v>
      </c>
      <c r="B408">
        <v>140</v>
      </c>
      <c r="C408">
        <v>0</v>
      </c>
      <c r="D408">
        <v>1</v>
      </c>
      <c r="E408">
        <v>100</v>
      </c>
      <c r="F408">
        <v>0</v>
      </c>
      <c r="G408">
        <v>1</v>
      </c>
    </row>
    <row r="409" spans="1:7" x14ac:dyDescent="0.3">
      <c r="A409">
        <v>62</v>
      </c>
      <c r="B409">
        <v>115</v>
      </c>
      <c r="C409">
        <v>0</v>
      </c>
      <c r="D409">
        <v>1</v>
      </c>
      <c r="E409">
        <v>72</v>
      </c>
      <c r="F409">
        <v>-0.5</v>
      </c>
      <c r="G409">
        <v>1</v>
      </c>
    </row>
    <row r="410" spans="1:7" x14ac:dyDescent="0.3">
      <c r="A410">
        <v>59</v>
      </c>
      <c r="B410">
        <v>110</v>
      </c>
      <c r="C410">
        <v>0</v>
      </c>
      <c r="D410">
        <v>1</v>
      </c>
      <c r="E410">
        <v>94</v>
      </c>
      <c r="F410">
        <v>0</v>
      </c>
      <c r="G410">
        <v>1</v>
      </c>
    </row>
    <row r="411" spans="1:7" x14ac:dyDescent="0.3">
      <c r="A411">
        <v>53</v>
      </c>
      <c r="B411">
        <v>160</v>
      </c>
      <c r="C411">
        <v>0</v>
      </c>
      <c r="D411">
        <v>1</v>
      </c>
      <c r="E411">
        <v>122</v>
      </c>
      <c r="F411">
        <v>0</v>
      </c>
      <c r="G411">
        <v>1</v>
      </c>
    </row>
    <row r="412" spans="1:7" x14ac:dyDescent="0.3">
      <c r="A412">
        <v>62</v>
      </c>
      <c r="B412">
        <v>150</v>
      </c>
      <c r="C412">
        <v>0</v>
      </c>
      <c r="D412">
        <v>1</v>
      </c>
      <c r="E412">
        <v>78</v>
      </c>
      <c r="F412">
        <v>2</v>
      </c>
      <c r="G412">
        <v>1</v>
      </c>
    </row>
    <row r="413" spans="1:7" x14ac:dyDescent="0.3">
      <c r="A413">
        <v>54</v>
      </c>
      <c r="B413">
        <v>180</v>
      </c>
      <c r="C413">
        <v>0</v>
      </c>
      <c r="D413">
        <v>1</v>
      </c>
      <c r="E413">
        <v>150</v>
      </c>
      <c r="F413">
        <v>1.5</v>
      </c>
      <c r="G413">
        <v>1</v>
      </c>
    </row>
    <row r="414" spans="1:7" x14ac:dyDescent="0.3">
      <c r="A414">
        <v>56</v>
      </c>
      <c r="B414">
        <v>125</v>
      </c>
      <c r="C414">
        <v>0</v>
      </c>
      <c r="D414">
        <v>1</v>
      </c>
      <c r="E414">
        <v>103</v>
      </c>
      <c r="F414">
        <v>1</v>
      </c>
      <c r="G414">
        <v>1</v>
      </c>
    </row>
    <row r="415" spans="1:7" x14ac:dyDescent="0.3">
      <c r="A415">
        <v>56</v>
      </c>
      <c r="B415">
        <v>125</v>
      </c>
      <c r="C415">
        <v>0</v>
      </c>
      <c r="D415">
        <v>1</v>
      </c>
      <c r="E415">
        <v>98</v>
      </c>
      <c r="F415">
        <v>-2</v>
      </c>
      <c r="G415">
        <v>1</v>
      </c>
    </row>
    <row r="416" spans="1:7" x14ac:dyDescent="0.3">
      <c r="A416">
        <v>54</v>
      </c>
      <c r="B416">
        <v>130</v>
      </c>
      <c r="C416">
        <v>0</v>
      </c>
      <c r="D416">
        <v>1</v>
      </c>
      <c r="E416">
        <v>110</v>
      </c>
      <c r="F416">
        <v>3</v>
      </c>
      <c r="G416">
        <v>1</v>
      </c>
    </row>
    <row r="417" spans="1:7" x14ac:dyDescent="0.3">
      <c r="A417">
        <v>66</v>
      </c>
      <c r="B417">
        <v>155</v>
      </c>
      <c r="C417">
        <v>0</v>
      </c>
      <c r="D417">
        <v>1</v>
      </c>
      <c r="E417">
        <v>90</v>
      </c>
      <c r="F417">
        <v>0</v>
      </c>
      <c r="G417">
        <v>1</v>
      </c>
    </row>
    <row r="418" spans="1:7" x14ac:dyDescent="0.3">
      <c r="A418">
        <v>63</v>
      </c>
      <c r="B418">
        <v>140</v>
      </c>
      <c r="C418">
        <v>260</v>
      </c>
      <c r="D418">
        <v>0</v>
      </c>
      <c r="E418">
        <v>112</v>
      </c>
      <c r="F418">
        <v>3</v>
      </c>
      <c r="G418">
        <v>1</v>
      </c>
    </row>
    <row r="419" spans="1:7" x14ac:dyDescent="0.3">
      <c r="A419">
        <v>44</v>
      </c>
      <c r="B419">
        <v>130</v>
      </c>
      <c r="C419">
        <v>209</v>
      </c>
      <c r="D419">
        <v>0</v>
      </c>
      <c r="E419">
        <v>127</v>
      </c>
      <c r="F419">
        <v>0</v>
      </c>
      <c r="G419">
        <v>0</v>
      </c>
    </row>
    <row r="420" spans="1:7" x14ac:dyDescent="0.3">
      <c r="A420">
        <v>60</v>
      </c>
      <c r="B420">
        <v>132</v>
      </c>
      <c r="C420">
        <v>218</v>
      </c>
      <c r="D420">
        <v>0</v>
      </c>
      <c r="E420">
        <v>140</v>
      </c>
      <c r="F420">
        <v>1.5</v>
      </c>
      <c r="G420">
        <v>1</v>
      </c>
    </row>
    <row r="421" spans="1:7" x14ac:dyDescent="0.3">
      <c r="A421">
        <v>55</v>
      </c>
      <c r="B421">
        <v>142</v>
      </c>
      <c r="C421">
        <v>228</v>
      </c>
      <c r="D421">
        <v>0</v>
      </c>
      <c r="E421">
        <v>149</v>
      </c>
      <c r="F421">
        <v>2.5</v>
      </c>
      <c r="G421">
        <v>1</v>
      </c>
    </row>
    <row r="422" spans="1:7" x14ac:dyDescent="0.3">
      <c r="A422">
        <v>66</v>
      </c>
      <c r="B422">
        <v>110</v>
      </c>
      <c r="C422">
        <v>213</v>
      </c>
      <c r="D422">
        <v>1</v>
      </c>
      <c r="E422">
        <v>99</v>
      </c>
      <c r="F422">
        <v>1.3</v>
      </c>
      <c r="G422">
        <v>0</v>
      </c>
    </row>
    <row r="423" spans="1:7" x14ac:dyDescent="0.3">
      <c r="A423">
        <v>66</v>
      </c>
      <c r="B423">
        <v>120</v>
      </c>
      <c r="C423">
        <v>0</v>
      </c>
      <c r="D423">
        <v>0</v>
      </c>
      <c r="E423">
        <v>120</v>
      </c>
      <c r="F423">
        <v>-0.5</v>
      </c>
      <c r="G423">
        <v>0</v>
      </c>
    </row>
    <row r="424" spans="1:7" x14ac:dyDescent="0.3">
      <c r="A424">
        <v>65</v>
      </c>
      <c r="B424">
        <v>150</v>
      </c>
      <c r="C424">
        <v>236</v>
      </c>
      <c r="D424">
        <v>1</v>
      </c>
      <c r="E424">
        <v>105</v>
      </c>
      <c r="F424">
        <v>0</v>
      </c>
      <c r="G424">
        <v>1</v>
      </c>
    </row>
    <row r="425" spans="1:7" x14ac:dyDescent="0.3">
      <c r="A425">
        <v>60</v>
      </c>
      <c r="B425">
        <v>180</v>
      </c>
      <c r="C425">
        <v>0</v>
      </c>
      <c r="D425">
        <v>0</v>
      </c>
      <c r="E425">
        <v>140</v>
      </c>
      <c r="F425">
        <v>1.5</v>
      </c>
      <c r="G425">
        <v>0</v>
      </c>
    </row>
    <row r="426" spans="1:7" x14ac:dyDescent="0.3">
      <c r="A426">
        <v>60</v>
      </c>
      <c r="B426">
        <v>120</v>
      </c>
      <c r="C426">
        <v>0</v>
      </c>
      <c r="D426">
        <v>1</v>
      </c>
      <c r="E426">
        <v>141</v>
      </c>
      <c r="F426">
        <v>2</v>
      </c>
      <c r="G426">
        <v>1</v>
      </c>
    </row>
    <row r="427" spans="1:7" x14ac:dyDescent="0.3">
      <c r="A427">
        <v>60</v>
      </c>
      <c r="B427">
        <v>160</v>
      </c>
      <c r="C427">
        <v>267</v>
      </c>
      <c r="D427">
        <v>1</v>
      </c>
      <c r="E427">
        <v>157</v>
      </c>
      <c r="F427">
        <v>0.5</v>
      </c>
      <c r="G427">
        <v>1</v>
      </c>
    </row>
    <row r="428" spans="1:7" x14ac:dyDescent="0.3">
      <c r="A428">
        <v>56</v>
      </c>
      <c r="B428">
        <v>126</v>
      </c>
      <c r="C428">
        <v>166</v>
      </c>
      <c r="D428">
        <v>0</v>
      </c>
      <c r="E428">
        <v>140</v>
      </c>
      <c r="F428">
        <v>0</v>
      </c>
      <c r="G428">
        <v>0</v>
      </c>
    </row>
    <row r="429" spans="1:7" x14ac:dyDescent="0.3">
      <c r="A429">
        <v>59</v>
      </c>
      <c r="B429">
        <v>140</v>
      </c>
      <c r="C429">
        <v>0</v>
      </c>
      <c r="D429">
        <v>0</v>
      </c>
      <c r="E429">
        <v>117</v>
      </c>
      <c r="F429">
        <v>1</v>
      </c>
      <c r="G429">
        <v>1</v>
      </c>
    </row>
    <row r="430" spans="1:7" x14ac:dyDescent="0.3">
      <c r="A430">
        <v>62</v>
      </c>
      <c r="B430">
        <v>110</v>
      </c>
      <c r="C430">
        <v>0</v>
      </c>
      <c r="D430">
        <v>0</v>
      </c>
      <c r="E430">
        <v>120</v>
      </c>
      <c r="F430">
        <v>0.5</v>
      </c>
      <c r="G430">
        <v>1</v>
      </c>
    </row>
    <row r="431" spans="1:7" x14ac:dyDescent="0.3">
      <c r="A431">
        <v>63</v>
      </c>
      <c r="B431">
        <v>133</v>
      </c>
      <c r="C431">
        <v>0</v>
      </c>
      <c r="D431">
        <v>0</v>
      </c>
      <c r="E431">
        <v>120</v>
      </c>
      <c r="F431">
        <v>1</v>
      </c>
      <c r="G431">
        <v>1</v>
      </c>
    </row>
    <row r="432" spans="1:7" x14ac:dyDescent="0.3">
      <c r="A432">
        <v>57</v>
      </c>
      <c r="B432">
        <v>128</v>
      </c>
      <c r="C432">
        <v>0</v>
      </c>
      <c r="D432">
        <v>1</v>
      </c>
      <c r="E432">
        <v>148</v>
      </c>
      <c r="F432">
        <v>1</v>
      </c>
      <c r="G432">
        <v>1</v>
      </c>
    </row>
    <row r="433" spans="1:7" x14ac:dyDescent="0.3">
      <c r="A433">
        <v>62</v>
      </c>
      <c r="B433">
        <v>120</v>
      </c>
      <c r="C433">
        <v>220</v>
      </c>
      <c r="D433">
        <v>0</v>
      </c>
      <c r="E433">
        <v>86</v>
      </c>
      <c r="F433">
        <v>0</v>
      </c>
      <c r="G433">
        <v>0</v>
      </c>
    </row>
    <row r="434" spans="1:7" x14ac:dyDescent="0.3">
      <c r="A434">
        <v>63</v>
      </c>
      <c r="B434">
        <v>170</v>
      </c>
      <c r="C434">
        <v>177</v>
      </c>
      <c r="D434">
        <v>0</v>
      </c>
      <c r="E434">
        <v>84</v>
      </c>
      <c r="F434">
        <v>2.5</v>
      </c>
      <c r="G434">
        <v>1</v>
      </c>
    </row>
    <row r="435" spans="1:7" x14ac:dyDescent="0.3">
      <c r="A435">
        <v>46</v>
      </c>
      <c r="B435">
        <v>110</v>
      </c>
      <c r="C435">
        <v>236</v>
      </c>
      <c r="D435">
        <v>0</v>
      </c>
      <c r="E435">
        <v>125</v>
      </c>
      <c r="F435">
        <v>2</v>
      </c>
      <c r="G435">
        <v>1</v>
      </c>
    </row>
    <row r="436" spans="1:7" x14ac:dyDescent="0.3">
      <c r="A436">
        <v>63</v>
      </c>
      <c r="B436">
        <v>126</v>
      </c>
      <c r="C436">
        <v>0</v>
      </c>
      <c r="D436">
        <v>0</v>
      </c>
      <c r="E436">
        <v>120</v>
      </c>
      <c r="F436">
        <v>1.5</v>
      </c>
      <c r="G436">
        <v>0</v>
      </c>
    </row>
    <row r="437" spans="1:7" x14ac:dyDescent="0.3">
      <c r="A437">
        <v>60</v>
      </c>
      <c r="B437">
        <v>152</v>
      </c>
      <c r="C437">
        <v>0</v>
      </c>
      <c r="D437">
        <v>0</v>
      </c>
      <c r="E437">
        <v>118</v>
      </c>
      <c r="F437">
        <v>0</v>
      </c>
      <c r="G437">
        <v>0</v>
      </c>
    </row>
    <row r="438" spans="1:7" x14ac:dyDescent="0.3">
      <c r="A438">
        <v>58</v>
      </c>
      <c r="B438">
        <v>116</v>
      </c>
      <c r="C438">
        <v>0</v>
      </c>
      <c r="D438">
        <v>0</v>
      </c>
      <c r="E438">
        <v>124</v>
      </c>
      <c r="F438">
        <v>1</v>
      </c>
      <c r="G438">
        <v>1</v>
      </c>
    </row>
    <row r="439" spans="1:7" x14ac:dyDescent="0.3">
      <c r="A439">
        <v>64</v>
      </c>
      <c r="B439">
        <v>120</v>
      </c>
      <c r="C439">
        <v>0</v>
      </c>
      <c r="D439">
        <v>1</v>
      </c>
      <c r="E439">
        <v>106</v>
      </c>
      <c r="F439">
        <v>2</v>
      </c>
      <c r="G439">
        <v>1</v>
      </c>
    </row>
    <row r="440" spans="1:7" x14ac:dyDescent="0.3">
      <c r="A440">
        <v>63</v>
      </c>
      <c r="B440">
        <v>130</v>
      </c>
      <c r="C440">
        <v>0</v>
      </c>
      <c r="D440">
        <v>0</v>
      </c>
      <c r="E440">
        <v>111</v>
      </c>
      <c r="F440">
        <v>0</v>
      </c>
      <c r="G440">
        <v>1</v>
      </c>
    </row>
    <row r="441" spans="1:7" x14ac:dyDescent="0.3">
      <c r="A441">
        <v>74</v>
      </c>
      <c r="B441">
        <v>138</v>
      </c>
      <c r="C441">
        <v>0</v>
      </c>
      <c r="D441">
        <v>0</v>
      </c>
      <c r="E441">
        <v>116</v>
      </c>
      <c r="F441">
        <v>0.2</v>
      </c>
      <c r="G441">
        <v>0</v>
      </c>
    </row>
    <row r="442" spans="1:7" x14ac:dyDescent="0.3">
      <c r="A442">
        <v>52</v>
      </c>
      <c r="B442">
        <v>128</v>
      </c>
      <c r="C442">
        <v>0</v>
      </c>
      <c r="D442">
        <v>0</v>
      </c>
      <c r="E442">
        <v>180</v>
      </c>
      <c r="F442">
        <v>3</v>
      </c>
      <c r="G442">
        <v>1</v>
      </c>
    </row>
    <row r="443" spans="1:7" x14ac:dyDescent="0.3">
      <c r="A443">
        <v>69</v>
      </c>
      <c r="B443">
        <v>130</v>
      </c>
      <c r="C443">
        <v>0</v>
      </c>
      <c r="D443">
        <v>1</v>
      </c>
      <c r="E443">
        <v>129</v>
      </c>
      <c r="F443">
        <v>1</v>
      </c>
      <c r="G443">
        <v>1</v>
      </c>
    </row>
    <row r="444" spans="1:7" x14ac:dyDescent="0.3">
      <c r="A444">
        <v>51</v>
      </c>
      <c r="B444">
        <v>128</v>
      </c>
      <c r="C444">
        <v>0</v>
      </c>
      <c r="D444">
        <v>1</v>
      </c>
      <c r="E444">
        <v>125</v>
      </c>
      <c r="F444">
        <v>1.2</v>
      </c>
      <c r="G444">
        <v>1</v>
      </c>
    </row>
    <row r="445" spans="1:7" x14ac:dyDescent="0.3">
      <c r="A445">
        <v>60</v>
      </c>
      <c r="B445">
        <v>130</v>
      </c>
      <c r="C445">
        <v>186</v>
      </c>
      <c r="D445">
        <v>1</v>
      </c>
      <c r="E445">
        <v>140</v>
      </c>
      <c r="F445">
        <v>0.5</v>
      </c>
      <c r="G445">
        <v>1</v>
      </c>
    </row>
    <row r="446" spans="1:7" x14ac:dyDescent="0.3">
      <c r="A446">
        <v>56</v>
      </c>
      <c r="B446">
        <v>120</v>
      </c>
      <c r="C446">
        <v>100</v>
      </c>
      <c r="D446">
        <v>0</v>
      </c>
      <c r="E446">
        <v>120</v>
      </c>
      <c r="F446">
        <v>1.5</v>
      </c>
      <c r="G446">
        <v>1</v>
      </c>
    </row>
    <row r="447" spans="1:7" x14ac:dyDescent="0.3">
      <c r="A447">
        <v>55</v>
      </c>
      <c r="B447">
        <v>136</v>
      </c>
      <c r="C447">
        <v>228</v>
      </c>
      <c r="D447">
        <v>0</v>
      </c>
      <c r="E447">
        <v>124</v>
      </c>
      <c r="F447">
        <v>1.6</v>
      </c>
      <c r="G447">
        <v>1</v>
      </c>
    </row>
    <row r="448" spans="1:7" x14ac:dyDescent="0.3">
      <c r="A448">
        <v>54</v>
      </c>
      <c r="B448">
        <v>130</v>
      </c>
      <c r="C448">
        <v>0</v>
      </c>
      <c r="D448">
        <v>0</v>
      </c>
      <c r="E448">
        <v>117</v>
      </c>
      <c r="F448">
        <v>1.4</v>
      </c>
      <c r="G448">
        <v>1</v>
      </c>
    </row>
    <row r="449" spans="1:7" x14ac:dyDescent="0.3">
      <c r="A449">
        <v>77</v>
      </c>
      <c r="B449">
        <v>124</v>
      </c>
      <c r="C449">
        <v>171</v>
      </c>
      <c r="D449">
        <v>0</v>
      </c>
      <c r="E449">
        <v>110</v>
      </c>
      <c r="F449">
        <v>2</v>
      </c>
      <c r="G449">
        <v>1</v>
      </c>
    </row>
    <row r="450" spans="1:7" x14ac:dyDescent="0.3">
      <c r="A450">
        <v>63</v>
      </c>
      <c r="B450">
        <v>160</v>
      </c>
      <c r="C450">
        <v>230</v>
      </c>
      <c r="D450">
        <v>1</v>
      </c>
      <c r="E450">
        <v>105</v>
      </c>
      <c r="F450">
        <v>1</v>
      </c>
      <c r="G450">
        <v>1</v>
      </c>
    </row>
    <row r="451" spans="1:7" x14ac:dyDescent="0.3">
      <c r="A451">
        <v>55</v>
      </c>
      <c r="B451">
        <v>0</v>
      </c>
      <c r="C451">
        <v>0</v>
      </c>
      <c r="D451">
        <v>0</v>
      </c>
      <c r="E451">
        <v>155</v>
      </c>
      <c r="F451">
        <v>1.5</v>
      </c>
      <c r="G451">
        <v>1</v>
      </c>
    </row>
    <row r="452" spans="1:7" x14ac:dyDescent="0.3">
      <c r="A452">
        <v>52</v>
      </c>
      <c r="B452">
        <v>122</v>
      </c>
      <c r="C452">
        <v>0</v>
      </c>
      <c r="D452">
        <v>0</v>
      </c>
      <c r="E452">
        <v>110</v>
      </c>
      <c r="F452">
        <v>2</v>
      </c>
      <c r="G452">
        <v>1</v>
      </c>
    </row>
    <row r="453" spans="1:7" x14ac:dyDescent="0.3">
      <c r="A453">
        <v>64</v>
      </c>
      <c r="B453">
        <v>144</v>
      </c>
      <c r="C453">
        <v>0</v>
      </c>
      <c r="D453">
        <v>0</v>
      </c>
      <c r="E453">
        <v>122</v>
      </c>
      <c r="F453">
        <v>1</v>
      </c>
      <c r="G453">
        <v>1</v>
      </c>
    </row>
    <row r="454" spans="1:7" x14ac:dyDescent="0.3">
      <c r="A454">
        <v>60</v>
      </c>
      <c r="B454">
        <v>140</v>
      </c>
      <c r="C454">
        <v>281</v>
      </c>
      <c r="D454">
        <v>0</v>
      </c>
      <c r="E454">
        <v>118</v>
      </c>
      <c r="F454">
        <v>1.5</v>
      </c>
      <c r="G454">
        <v>1</v>
      </c>
    </row>
    <row r="455" spans="1:7" x14ac:dyDescent="0.3">
      <c r="A455">
        <v>60</v>
      </c>
      <c r="B455">
        <v>120</v>
      </c>
      <c r="C455">
        <v>0</v>
      </c>
      <c r="D455">
        <v>0</v>
      </c>
      <c r="E455">
        <v>133</v>
      </c>
      <c r="F455">
        <v>2</v>
      </c>
      <c r="G455">
        <v>0</v>
      </c>
    </row>
    <row r="456" spans="1:7" x14ac:dyDescent="0.3">
      <c r="A456">
        <v>58</v>
      </c>
      <c r="B456">
        <v>136</v>
      </c>
      <c r="C456">
        <v>203</v>
      </c>
      <c r="D456">
        <v>1</v>
      </c>
      <c r="E456">
        <v>123</v>
      </c>
      <c r="F456">
        <v>1.2</v>
      </c>
      <c r="G456">
        <v>1</v>
      </c>
    </row>
    <row r="457" spans="1:7" x14ac:dyDescent="0.3">
      <c r="A457">
        <v>59</v>
      </c>
      <c r="B457">
        <v>154</v>
      </c>
      <c r="C457">
        <v>0</v>
      </c>
      <c r="D457">
        <v>0</v>
      </c>
      <c r="E457">
        <v>131</v>
      </c>
      <c r="F457">
        <v>1.5</v>
      </c>
      <c r="G457">
        <v>0</v>
      </c>
    </row>
    <row r="458" spans="1:7" x14ac:dyDescent="0.3">
      <c r="A458">
        <v>61</v>
      </c>
      <c r="B458">
        <v>120</v>
      </c>
      <c r="C458">
        <v>0</v>
      </c>
      <c r="D458">
        <v>0</v>
      </c>
      <c r="E458">
        <v>80</v>
      </c>
      <c r="F458">
        <v>0</v>
      </c>
      <c r="G458">
        <v>1</v>
      </c>
    </row>
    <row r="459" spans="1:7" x14ac:dyDescent="0.3">
      <c r="A459">
        <v>40</v>
      </c>
      <c r="B459">
        <v>125</v>
      </c>
      <c r="C459">
        <v>0</v>
      </c>
      <c r="D459">
        <v>1</v>
      </c>
      <c r="E459">
        <v>165</v>
      </c>
      <c r="F459">
        <v>0</v>
      </c>
      <c r="G459">
        <v>1</v>
      </c>
    </row>
    <row r="460" spans="1:7" x14ac:dyDescent="0.3">
      <c r="A460">
        <v>61</v>
      </c>
      <c r="B460">
        <v>134</v>
      </c>
      <c r="C460">
        <v>0</v>
      </c>
      <c r="D460">
        <v>1</v>
      </c>
      <c r="E460">
        <v>86</v>
      </c>
      <c r="F460">
        <v>1.5</v>
      </c>
      <c r="G460">
        <v>1</v>
      </c>
    </row>
    <row r="461" spans="1:7" x14ac:dyDescent="0.3">
      <c r="A461">
        <v>41</v>
      </c>
      <c r="B461">
        <v>104</v>
      </c>
      <c r="C461">
        <v>0</v>
      </c>
      <c r="D461">
        <v>0</v>
      </c>
      <c r="E461">
        <v>111</v>
      </c>
      <c r="F461">
        <v>0</v>
      </c>
      <c r="G461">
        <v>0</v>
      </c>
    </row>
    <row r="462" spans="1:7" x14ac:dyDescent="0.3">
      <c r="A462">
        <v>57</v>
      </c>
      <c r="B462">
        <v>139</v>
      </c>
      <c r="C462">
        <v>277</v>
      </c>
      <c r="D462">
        <v>1</v>
      </c>
      <c r="E462">
        <v>118</v>
      </c>
      <c r="F462">
        <v>1.9</v>
      </c>
      <c r="G462">
        <v>1</v>
      </c>
    </row>
    <row r="463" spans="1:7" x14ac:dyDescent="0.3">
      <c r="A463">
        <v>63</v>
      </c>
      <c r="B463">
        <v>136</v>
      </c>
      <c r="C463">
        <v>0</v>
      </c>
      <c r="D463">
        <v>0</v>
      </c>
      <c r="E463">
        <v>84</v>
      </c>
      <c r="F463">
        <v>0</v>
      </c>
      <c r="G463">
        <v>1</v>
      </c>
    </row>
    <row r="464" spans="1:7" x14ac:dyDescent="0.3">
      <c r="A464">
        <v>59</v>
      </c>
      <c r="B464">
        <v>122</v>
      </c>
      <c r="C464">
        <v>233</v>
      </c>
      <c r="D464">
        <v>0</v>
      </c>
      <c r="E464">
        <v>117</v>
      </c>
      <c r="F464">
        <v>1.3</v>
      </c>
      <c r="G464">
        <v>1</v>
      </c>
    </row>
    <row r="465" spans="1:7" x14ac:dyDescent="0.3">
      <c r="A465">
        <v>51</v>
      </c>
      <c r="B465">
        <v>128</v>
      </c>
      <c r="C465">
        <v>0</v>
      </c>
      <c r="D465">
        <v>0</v>
      </c>
      <c r="E465">
        <v>107</v>
      </c>
      <c r="F465">
        <v>0</v>
      </c>
      <c r="G465">
        <v>0</v>
      </c>
    </row>
    <row r="466" spans="1:7" x14ac:dyDescent="0.3">
      <c r="A466">
        <v>59</v>
      </c>
      <c r="B466">
        <v>131</v>
      </c>
      <c r="C466">
        <v>0</v>
      </c>
      <c r="D466">
        <v>0</v>
      </c>
      <c r="E466">
        <v>128</v>
      </c>
      <c r="F466">
        <v>2</v>
      </c>
      <c r="G466">
        <v>1</v>
      </c>
    </row>
    <row r="467" spans="1:7" x14ac:dyDescent="0.3">
      <c r="A467">
        <v>42</v>
      </c>
      <c r="B467">
        <v>134</v>
      </c>
      <c r="C467">
        <v>240</v>
      </c>
      <c r="D467">
        <v>0</v>
      </c>
      <c r="E467">
        <v>160</v>
      </c>
      <c r="F467">
        <v>0</v>
      </c>
      <c r="G467">
        <v>0</v>
      </c>
    </row>
    <row r="468" spans="1:7" x14ac:dyDescent="0.3">
      <c r="A468">
        <v>55</v>
      </c>
      <c r="B468">
        <v>120</v>
      </c>
      <c r="C468">
        <v>0</v>
      </c>
      <c r="D468">
        <v>0</v>
      </c>
      <c r="E468">
        <v>125</v>
      </c>
      <c r="F468">
        <v>2.5</v>
      </c>
      <c r="G468">
        <v>1</v>
      </c>
    </row>
    <row r="469" spans="1:7" x14ac:dyDescent="0.3">
      <c r="A469">
        <v>63</v>
      </c>
      <c r="B469">
        <v>132</v>
      </c>
      <c r="C469">
        <v>0</v>
      </c>
      <c r="D469">
        <v>0</v>
      </c>
      <c r="E469">
        <v>130</v>
      </c>
      <c r="F469">
        <v>0.1</v>
      </c>
      <c r="G469">
        <v>0</v>
      </c>
    </row>
    <row r="470" spans="1:7" x14ac:dyDescent="0.3">
      <c r="A470">
        <v>62</v>
      </c>
      <c r="B470">
        <v>152</v>
      </c>
      <c r="C470">
        <v>153</v>
      </c>
      <c r="D470">
        <v>0</v>
      </c>
      <c r="E470">
        <v>97</v>
      </c>
      <c r="F470">
        <v>1.6</v>
      </c>
      <c r="G470">
        <v>1</v>
      </c>
    </row>
    <row r="471" spans="1:7" x14ac:dyDescent="0.3">
      <c r="A471">
        <v>56</v>
      </c>
      <c r="B471">
        <v>124</v>
      </c>
      <c r="C471">
        <v>224</v>
      </c>
      <c r="D471">
        <v>1</v>
      </c>
      <c r="E471">
        <v>161</v>
      </c>
      <c r="F471">
        <v>2</v>
      </c>
      <c r="G471">
        <v>0</v>
      </c>
    </row>
    <row r="472" spans="1:7" x14ac:dyDescent="0.3">
      <c r="A472">
        <v>53</v>
      </c>
      <c r="B472">
        <v>126</v>
      </c>
      <c r="C472">
        <v>0</v>
      </c>
      <c r="D472">
        <v>0</v>
      </c>
      <c r="E472">
        <v>106</v>
      </c>
      <c r="F472">
        <v>0</v>
      </c>
      <c r="G472">
        <v>1</v>
      </c>
    </row>
    <row r="473" spans="1:7" x14ac:dyDescent="0.3">
      <c r="A473">
        <v>68</v>
      </c>
      <c r="B473">
        <v>138</v>
      </c>
      <c r="C473">
        <v>0</v>
      </c>
      <c r="D473">
        <v>0</v>
      </c>
      <c r="E473">
        <v>130</v>
      </c>
      <c r="F473">
        <v>3</v>
      </c>
      <c r="G473">
        <v>1</v>
      </c>
    </row>
    <row r="474" spans="1:7" x14ac:dyDescent="0.3">
      <c r="A474">
        <v>53</v>
      </c>
      <c r="B474">
        <v>154</v>
      </c>
      <c r="C474">
        <v>0</v>
      </c>
      <c r="D474">
        <v>1</v>
      </c>
      <c r="E474">
        <v>140</v>
      </c>
      <c r="F474">
        <v>1.5</v>
      </c>
      <c r="G474">
        <v>1</v>
      </c>
    </row>
    <row r="475" spans="1:7" x14ac:dyDescent="0.3">
      <c r="A475">
        <v>60</v>
      </c>
      <c r="B475">
        <v>141</v>
      </c>
      <c r="C475">
        <v>316</v>
      </c>
      <c r="D475">
        <v>1</v>
      </c>
      <c r="E475">
        <v>122</v>
      </c>
      <c r="F475">
        <v>1.7</v>
      </c>
      <c r="G475">
        <v>1</v>
      </c>
    </row>
    <row r="476" spans="1:7" x14ac:dyDescent="0.3">
      <c r="A476">
        <v>62</v>
      </c>
      <c r="B476">
        <v>131</v>
      </c>
      <c r="C476">
        <v>0</v>
      </c>
      <c r="D476">
        <v>0</v>
      </c>
      <c r="E476">
        <v>130</v>
      </c>
      <c r="F476">
        <v>0.1</v>
      </c>
      <c r="G476">
        <v>0</v>
      </c>
    </row>
    <row r="477" spans="1:7" x14ac:dyDescent="0.3">
      <c r="A477">
        <v>59</v>
      </c>
      <c r="B477">
        <v>178</v>
      </c>
      <c r="C477">
        <v>0</v>
      </c>
      <c r="D477">
        <v>1</v>
      </c>
      <c r="E477">
        <v>120</v>
      </c>
      <c r="F477">
        <v>0</v>
      </c>
      <c r="G477">
        <v>1</v>
      </c>
    </row>
    <row r="478" spans="1:7" x14ac:dyDescent="0.3">
      <c r="A478">
        <v>51</v>
      </c>
      <c r="B478">
        <v>132</v>
      </c>
      <c r="C478">
        <v>218</v>
      </c>
      <c r="D478">
        <v>1</v>
      </c>
      <c r="E478">
        <v>139</v>
      </c>
      <c r="F478">
        <v>0.1</v>
      </c>
      <c r="G478">
        <v>0</v>
      </c>
    </row>
    <row r="479" spans="1:7" x14ac:dyDescent="0.3">
      <c r="A479">
        <v>61</v>
      </c>
      <c r="B479">
        <v>110</v>
      </c>
      <c r="C479">
        <v>0</v>
      </c>
      <c r="D479">
        <v>1</v>
      </c>
      <c r="E479">
        <v>108</v>
      </c>
      <c r="F479">
        <v>2</v>
      </c>
      <c r="G479">
        <v>1</v>
      </c>
    </row>
    <row r="480" spans="1:7" x14ac:dyDescent="0.3">
      <c r="A480">
        <v>57</v>
      </c>
      <c r="B480">
        <v>130</v>
      </c>
      <c r="C480">
        <v>311</v>
      </c>
      <c r="D480">
        <v>1</v>
      </c>
      <c r="E480">
        <v>148</v>
      </c>
      <c r="F480">
        <v>2</v>
      </c>
      <c r="G480">
        <v>1</v>
      </c>
    </row>
    <row r="481" spans="1:7" x14ac:dyDescent="0.3">
      <c r="A481">
        <v>56</v>
      </c>
      <c r="B481">
        <v>170</v>
      </c>
      <c r="C481">
        <v>0</v>
      </c>
      <c r="D481">
        <v>0</v>
      </c>
      <c r="E481">
        <v>123</v>
      </c>
      <c r="F481">
        <v>2.5</v>
      </c>
      <c r="G481">
        <v>1</v>
      </c>
    </row>
    <row r="482" spans="1:7" x14ac:dyDescent="0.3">
      <c r="A482">
        <v>58</v>
      </c>
      <c r="B482">
        <v>126</v>
      </c>
      <c r="C482">
        <v>0</v>
      </c>
      <c r="D482">
        <v>1</v>
      </c>
      <c r="E482">
        <v>110</v>
      </c>
      <c r="F482">
        <v>2</v>
      </c>
      <c r="G482">
        <v>1</v>
      </c>
    </row>
    <row r="483" spans="1:7" x14ac:dyDescent="0.3">
      <c r="A483">
        <v>69</v>
      </c>
      <c r="B483">
        <v>140</v>
      </c>
      <c r="C483">
        <v>0</v>
      </c>
      <c r="D483">
        <v>1</v>
      </c>
      <c r="E483">
        <v>118</v>
      </c>
      <c r="F483">
        <v>2.5</v>
      </c>
      <c r="G483">
        <v>1</v>
      </c>
    </row>
    <row r="484" spans="1:7" x14ac:dyDescent="0.3">
      <c r="A484">
        <v>67</v>
      </c>
      <c r="B484">
        <v>142</v>
      </c>
      <c r="C484">
        <v>270</v>
      </c>
      <c r="D484">
        <v>1</v>
      </c>
      <c r="E484">
        <v>125</v>
      </c>
      <c r="F484">
        <v>2.5</v>
      </c>
      <c r="G484">
        <v>1</v>
      </c>
    </row>
    <row r="485" spans="1:7" x14ac:dyDescent="0.3">
      <c r="A485">
        <v>58</v>
      </c>
      <c r="B485">
        <v>120</v>
      </c>
      <c r="C485">
        <v>0</v>
      </c>
      <c r="D485">
        <v>0</v>
      </c>
      <c r="E485">
        <v>106</v>
      </c>
      <c r="F485">
        <v>1.5</v>
      </c>
      <c r="G485">
        <v>1</v>
      </c>
    </row>
    <row r="486" spans="1:7" x14ac:dyDescent="0.3">
      <c r="A486">
        <v>65</v>
      </c>
      <c r="B486">
        <v>134</v>
      </c>
      <c r="C486">
        <v>0</v>
      </c>
      <c r="D486">
        <v>0</v>
      </c>
      <c r="E486">
        <v>112</v>
      </c>
      <c r="F486">
        <v>1.1000000000000001</v>
      </c>
      <c r="G486">
        <v>1</v>
      </c>
    </row>
    <row r="487" spans="1:7" x14ac:dyDescent="0.3">
      <c r="A487">
        <v>63</v>
      </c>
      <c r="B487">
        <v>139</v>
      </c>
      <c r="C487">
        <v>217</v>
      </c>
      <c r="D487">
        <v>1</v>
      </c>
      <c r="E487">
        <v>128</v>
      </c>
      <c r="F487">
        <v>1.2</v>
      </c>
      <c r="G487">
        <v>1</v>
      </c>
    </row>
    <row r="488" spans="1:7" x14ac:dyDescent="0.3">
      <c r="A488">
        <v>55</v>
      </c>
      <c r="B488">
        <v>110</v>
      </c>
      <c r="C488">
        <v>214</v>
      </c>
      <c r="D488">
        <v>1</v>
      </c>
      <c r="E488">
        <v>180</v>
      </c>
      <c r="F488">
        <v>0.4</v>
      </c>
      <c r="G488">
        <v>0</v>
      </c>
    </row>
    <row r="489" spans="1:7" x14ac:dyDescent="0.3">
      <c r="A489">
        <v>57</v>
      </c>
      <c r="B489">
        <v>140</v>
      </c>
      <c r="C489">
        <v>214</v>
      </c>
      <c r="D489">
        <v>0</v>
      </c>
      <c r="E489">
        <v>144</v>
      </c>
      <c r="F489">
        <v>2</v>
      </c>
      <c r="G489">
        <v>1</v>
      </c>
    </row>
    <row r="490" spans="1:7" x14ac:dyDescent="0.3">
      <c r="A490">
        <v>65</v>
      </c>
      <c r="B490">
        <v>140</v>
      </c>
      <c r="C490">
        <v>252</v>
      </c>
      <c r="D490">
        <v>0</v>
      </c>
      <c r="E490">
        <v>135</v>
      </c>
      <c r="F490">
        <v>0.3</v>
      </c>
      <c r="G490">
        <v>0</v>
      </c>
    </row>
    <row r="491" spans="1:7" x14ac:dyDescent="0.3">
      <c r="A491">
        <v>54</v>
      </c>
      <c r="B491">
        <v>136</v>
      </c>
      <c r="C491">
        <v>220</v>
      </c>
      <c r="D491">
        <v>0</v>
      </c>
      <c r="E491">
        <v>140</v>
      </c>
      <c r="F491">
        <v>3</v>
      </c>
      <c r="G491">
        <v>1</v>
      </c>
    </row>
    <row r="492" spans="1:7" x14ac:dyDescent="0.3">
      <c r="A492">
        <v>72</v>
      </c>
      <c r="B492">
        <v>120</v>
      </c>
      <c r="C492">
        <v>214</v>
      </c>
      <c r="D492">
        <v>0</v>
      </c>
      <c r="E492">
        <v>102</v>
      </c>
      <c r="F492">
        <v>1</v>
      </c>
      <c r="G492">
        <v>1</v>
      </c>
    </row>
    <row r="493" spans="1:7" x14ac:dyDescent="0.3">
      <c r="A493">
        <v>75</v>
      </c>
      <c r="B493">
        <v>170</v>
      </c>
      <c r="C493">
        <v>203</v>
      </c>
      <c r="D493">
        <v>1</v>
      </c>
      <c r="E493">
        <v>108</v>
      </c>
      <c r="F493">
        <v>0</v>
      </c>
      <c r="G493">
        <v>1</v>
      </c>
    </row>
    <row r="494" spans="1:7" x14ac:dyDescent="0.3">
      <c r="A494">
        <v>49</v>
      </c>
      <c r="B494">
        <v>130</v>
      </c>
      <c r="C494">
        <v>0</v>
      </c>
      <c r="D494">
        <v>0</v>
      </c>
      <c r="E494">
        <v>145</v>
      </c>
      <c r="F494">
        <v>3</v>
      </c>
      <c r="G494">
        <v>1</v>
      </c>
    </row>
    <row r="495" spans="1:7" x14ac:dyDescent="0.3">
      <c r="A495">
        <v>51</v>
      </c>
      <c r="B495">
        <v>137</v>
      </c>
      <c r="C495">
        <v>339</v>
      </c>
      <c r="D495">
        <v>0</v>
      </c>
      <c r="E495">
        <v>127</v>
      </c>
      <c r="F495">
        <v>1.7</v>
      </c>
      <c r="G495">
        <v>1</v>
      </c>
    </row>
    <row r="496" spans="1:7" x14ac:dyDescent="0.3">
      <c r="A496">
        <v>60</v>
      </c>
      <c r="B496">
        <v>142</v>
      </c>
      <c r="C496">
        <v>216</v>
      </c>
      <c r="D496">
        <v>0</v>
      </c>
      <c r="E496">
        <v>110</v>
      </c>
      <c r="F496">
        <v>2.5</v>
      </c>
      <c r="G496">
        <v>1</v>
      </c>
    </row>
    <row r="497" spans="1:7" x14ac:dyDescent="0.3">
      <c r="A497">
        <v>64</v>
      </c>
      <c r="B497">
        <v>142</v>
      </c>
      <c r="C497">
        <v>276</v>
      </c>
      <c r="D497">
        <v>0</v>
      </c>
      <c r="E497">
        <v>140</v>
      </c>
      <c r="F497">
        <v>1</v>
      </c>
      <c r="G497">
        <v>1</v>
      </c>
    </row>
    <row r="498" spans="1:7" x14ac:dyDescent="0.3">
      <c r="A498">
        <v>58</v>
      </c>
      <c r="B498">
        <v>132</v>
      </c>
      <c r="C498">
        <v>458</v>
      </c>
      <c r="D498">
        <v>1</v>
      </c>
      <c r="E498">
        <v>69</v>
      </c>
      <c r="F498">
        <v>1</v>
      </c>
      <c r="G498">
        <v>0</v>
      </c>
    </row>
    <row r="499" spans="1:7" x14ac:dyDescent="0.3">
      <c r="A499">
        <v>61</v>
      </c>
      <c r="B499">
        <v>146</v>
      </c>
      <c r="C499">
        <v>241</v>
      </c>
      <c r="D499">
        <v>0</v>
      </c>
      <c r="E499">
        <v>148</v>
      </c>
      <c r="F499">
        <v>3</v>
      </c>
      <c r="G499">
        <v>1</v>
      </c>
    </row>
    <row r="500" spans="1:7" x14ac:dyDescent="0.3">
      <c r="A500">
        <v>67</v>
      </c>
      <c r="B500">
        <v>160</v>
      </c>
      <c r="C500">
        <v>384</v>
      </c>
      <c r="D500">
        <v>1</v>
      </c>
      <c r="E500">
        <v>130</v>
      </c>
      <c r="F500">
        <v>0</v>
      </c>
      <c r="G500">
        <v>1</v>
      </c>
    </row>
    <row r="501" spans="1:7" x14ac:dyDescent="0.3">
      <c r="A501">
        <v>62</v>
      </c>
      <c r="B501">
        <v>135</v>
      </c>
      <c r="C501">
        <v>297</v>
      </c>
      <c r="D501">
        <v>0</v>
      </c>
      <c r="E501">
        <v>130</v>
      </c>
      <c r="F501">
        <v>1</v>
      </c>
      <c r="G501">
        <v>1</v>
      </c>
    </row>
    <row r="502" spans="1:7" x14ac:dyDescent="0.3">
      <c r="A502">
        <v>65</v>
      </c>
      <c r="B502">
        <v>136</v>
      </c>
      <c r="C502">
        <v>248</v>
      </c>
      <c r="D502">
        <v>0</v>
      </c>
      <c r="E502">
        <v>140</v>
      </c>
      <c r="F502">
        <v>4</v>
      </c>
      <c r="G502">
        <v>1</v>
      </c>
    </row>
    <row r="503" spans="1:7" x14ac:dyDescent="0.3">
      <c r="A503">
        <v>63</v>
      </c>
      <c r="B503">
        <v>130</v>
      </c>
      <c r="C503">
        <v>308</v>
      </c>
      <c r="D503">
        <v>0</v>
      </c>
      <c r="E503">
        <v>138</v>
      </c>
      <c r="F503">
        <v>2</v>
      </c>
      <c r="G503">
        <v>1</v>
      </c>
    </row>
    <row r="504" spans="1:7" x14ac:dyDescent="0.3">
      <c r="A504">
        <v>69</v>
      </c>
      <c r="B504">
        <v>140</v>
      </c>
      <c r="C504">
        <v>208</v>
      </c>
      <c r="D504">
        <v>0</v>
      </c>
      <c r="E504">
        <v>140</v>
      </c>
      <c r="F504">
        <v>2</v>
      </c>
      <c r="G504">
        <v>1</v>
      </c>
    </row>
    <row r="505" spans="1:7" x14ac:dyDescent="0.3">
      <c r="A505">
        <v>51</v>
      </c>
      <c r="B505">
        <v>132</v>
      </c>
      <c r="C505">
        <v>227</v>
      </c>
      <c r="D505">
        <v>1</v>
      </c>
      <c r="E505">
        <v>138</v>
      </c>
      <c r="F505">
        <v>0.2</v>
      </c>
      <c r="G505">
        <v>0</v>
      </c>
    </row>
    <row r="506" spans="1:7" x14ac:dyDescent="0.3">
      <c r="A506">
        <v>62</v>
      </c>
      <c r="B506">
        <v>158</v>
      </c>
      <c r="C506">
        <v>210</v>
      </c>
      <c r="D506">
        <v>1</v>
      </c>
      <c r="E506">
        <v>112</v>
      </c>
      <c r="F506">
        <v>3</v>
      </c>
      <c r="G506">
        <v>1</v>
      </c>
    </row>
    <row r="507" spans="1:7" x14ac:dyDescent="0.3">
      <c r="A507">
        <v>55</v>
      </c>
      <c r="B507">
        <v>136</v>
      </c>
      <c r="C507">
        <v>245</v>
      </c>
      <c r="D507">
        <v>1</v>
      </c>
      <c r="E507">
        <v>131</v>
      </c>
      <c r="F507">
        <v>1.2</v>
      </c>
      <c r="G507">
        <v>1</v>
      </c>
    </row>
    <row r="508" spans="1:7" x14ac:dyDescent="0.3">
      <c r="A508">
        <v>75</v>
      </c>
      <c r="B508">
        <v>136</v>
      </c>
      <c r="C508">
        <v>225</v>
      </c>
      <c r="D508">
        <v>0</v>
      </c>
      <c r="E508">
        <v>112</v>
      </c>
      <c r="F508">
        <v>3</v>
      </c>
      <c r="G508">
        <v>1</v>
      </c>
    </row>
    <row r="509" spans="1:7" x14ac:dyDescent="0.3">
      <c r="A509">
        <v>40</v>
      </c>
      <c r="B509">
        <v>106</v>
      </c>
      <c r="C509">
        <v>240</v>
      </c>
      <c r="D509">
        <v>0</v>
      </c>
      <c r="E509">
        <v>80</v>
      </c>
      <c r="F509">
        <v>0</v>
      </c>
      <c r="G509">
        <v>0</v>
      </c>
    </row>
    <row r="510" spans="1:7" x14ac:dyDescent="0.3">
      <c r="A510">
        <v>67</v>
      </c>
      <c r="B510">
        <v>120</v>
      </c>
      <c r="C510">
        <v>0</v>
      </c>
      <c r="D510">
        <v>1</v>
      </c>
      <c r="E510">
        <v>150</v>
      </c>
      <c r="F510">
        <v>1.5</v>
      </c>
      <c r="G510">
        <v>1</v>
      </c>
    </row>
    <row r="511" spans="1:7" x14ac:dyDescent="0.3">
      <c r="A511">
        <v>58</v>
      </c>
      <c r="B511">
        <v>110</v>
      </c>
      <c r="C511">
        <v>198</v>
      </c>
      <c r="D511">
        <v>0</v>
      </c>
      <c r="E511">
        <v>110</v>
      </c>
      <c r="F511">
        <v>0</v>
      </c>
      <c r="G511">
        <v>1</v>
      </c>
    </row>
    <row r="512" spans="1:7" x14ac:dyDescent="0.3">
      <c r="A512">
        <v>60</v>
      </c>
      <c r="B512">
        <v>136</v>
      </c>
      <c r="C512">
        <v>195</v>
      </c>
      <c r="D512">
        <v>0</v>
      </c>
      <c r="E512">
        <v>126</v>
      </c>
      <c r="F512">
        <v>0.3</v>
      </c>
      <c r="G512">
        <v>0</v>
      </c>
    </row>
    <row r="513" spans="1:7" x14ac:dyDescent="0.3">
      <c r="A513">
        <v>63</v>
      </c>
      <c r="B513">
        <v>160</v>
      </c>
      <c r="C513">
        <v>267</v>
      </c>
      <c r="D513">
        <v>1</v>
      </c>
      <c r="E513">
        <v>88</v>
      </c>
      <c r="F513">
        <v>2</v>
      </c>
      <c r="G513">
        <v>1</v>
      </c>
    </row>
    <row r="514" spans="1:7" x14ac:dyDescent="0.3">
      <c r="A514">
        <v>35</v>
      </c>
      <c r="B514">
        <v>123</v>
      </c>
      <c r="C514">
        <v>161</v>
      </c>
      <c r="D514">
        <v>0</v>
      </c>
      <c r="E514">
        <v>153</v>
      </c>
      <c r="F514">
        <v>-0.1</v>
      </c>
      <c r="G514">
        <v>0</v>
      </c>
    </row>
    <row r="515" spans="1:7" x14ac:dyDescent="0.3">
      <c r="A515">
        <v>62</v>
      </c>
      <c r="B515">
        <v>112</v>
      </c>
      <c r="C515">
        <v>258</v>
      </c>
      <c r="D515">
        <v>0</v>
      </c>
      <c r="E515">
        <v>150</v>
      </c>
      <c r="F515">
        <v>1.3</v>
      </c>
      <c r="G515">
        <v>1</v>
      </c>
    </row>
    <row r="516" spans="1:7" x14ac:dyDescent="0.3">
      <c r="A516">
        <v>43</v>
      </c>
      <c r="B516">
        <v>122</v>
      </c>
      <c r="C516">
        <v>0</v>
      </c>
      <c r="D516">
        <v>0</v>
      </c>
      <c r="E516">
        <v>120</v>
      </c>
      <c r="F516">
        <v>0.5</v>
      </c>
      <c r="G516">
        <v>1</v>
      </c>
    </row>
    <row r="517" spans="1:7" x14ac:dyDescent="0.3">
      <c r="A517">
        <v>63</v>
      </c>
      <c r="B517">
        <v>130</v>
      </c>
      <c r="C517">
        <v>0</v>
      </c>
      <c r="D517">
        <v>1</v>
      </c>
      <c r="E517">
        <v>160</v>
      </c>
      <c r="F517">
        <v>3</v>
      </c>
      <c r="G517">
        <v>0</v>
      </c>
    </row>
    <row r="518" spans="1:7" x14ac:dyDescent="0.3">
      <c r="A518">
        <v>68</v>
      </c>
      <c r="B518">
        <v>150</v>
      </c>
      <c r="C518">
        <v>195</v>
      </c>
      <c r="D518">
        <v>1</v>
      </c>
      <c r="E518">
        <v>132</v>
      </c>
      <c r="F518">
        <v>0</v>
      </c>
      <c r="G518">
        <v>1</v>
      </c>
    </row>
    <row r="519" spans="1:7" x14ac:dyDescent="0.3">
      <c r="A519">
        <v>65</v>
      </c>
      <c r="B519">
        <v>150</v>
      </c>
      <c r="C519">
        <v>235</v>
      </c>
      <c r="D519">
        <v>0</v>
      </c>
      <c r="E519">
        <v>120</v>
      </c>
      <c r="F519">
        <v>1.5</v>
      </c>
      <c r="G519">
        <v>1</v>
      </c>
    </row>
    <row r="520" spans="1:7" x14ac:dyDescent="0.3">
      <c r="A520">
        <v>48</v>
      </c>
      <c r="B520">
        <v>102</v>
      </c>
      <c r="C520">
        <v>0</v>
      </c>
      <c r="D520">
        <v>1</v>
      </c>
      <c r="E520">
        <v>110</v>
      </c>
      <c r="F520">
        <v>1</v>
      </c>
      <c r="G520">
        <v>1</v>
      </c>
    </row>
    <row r="521" spans="1:7" x14ac:dyDescent="0.3">
      <c r="A521">
        <v>63</v>
      </c>
      <c r="B521">
        <v>96</v>
      </c>
      <c r="C521">
        <v>305</v>
      </c>
      <c r="D521">
        <v>0</v>
      </c>
      <c r="E521">
        <v>121</v>
      </c>
      <c r="F521">
        <v>1</v>
      </c>
      <c r="G521">
        <v>1</v>
      </c>
    </row>
    <row r="522" spans="1:7" x14ac:dyDescent="0.3">
      <c r="A522">
        <v>64</v>
      </c>
      <c r="B522">
        <v>130</v>
      </c>
      <c r="C522">
        <v>223</v>
      </c>
      <c r="D522">
        <v>0</v>
      </c>
      <c r="E522">
        <v>128</v>
      </c>
      <c r="F522">
        <v>0.5</v>
      </c>
      <c r="G522">
        <v>0</v>
      </c>
    </row>
    <row r="523" spans="1:7" x14ac:dyDescent="0.3">
      <c r="A523">
        <v>61</v>
      </c>
      <c r="B523">
        <v>120</v>
      </c>
      <c r="C523">
        <v>282</v>
      </c>
      <c r="D523">
        <v>0</v>
      </c>
      <c r="E523">
        <v>135</v>
      </c>
      <c r="F523">
        <v>4</v>
      </c>
      <c r="G523">
        <v>1</v>
      </c>
    </row>
    <row r="524" spans="1:7" x14ac:dyDescent="0.3">
      <c r="A524">
        <v>50</v>
      </c>
      <c r="B524">
        <v>144</v>
      </c>
      <c r="C524">
        <v>349</v>
      </c>
      <c r="D524">
        <v>0</v>
      </c>
      <c r="E524">
        <v>120</v>
      </c>
      <c r="F524">
        <v>1</v>
      </c>
      <c r="G524">
        <v>1</v>
      </c>
    </row>
    <row r="525" spans="1:7" x14ac:dyDescent="0.3">
      <c r="A525">
        <v>59</v>
      </c>
      <c r="B525">
        <v>124</v>
      </c>
      <c r="C525">
        <v>160</v>
      </c>
      <c r="D525">
        <v>0</v>
      </c>
      <c r="E525">
        <v>117</v>
      </c>
      <c r="F525">
        <v>1</v>
      </c>
      <c r="G525">
        <v>1</v>
      </c>
    </row>
    <row r="526" spans="1:7" x14ac:dyDescent="0.3">
      <c r="A526">
        <v>55</v>
      </c>
      <c r="B526">
        <v>150</v>
      </c>
      <c r="C526">
        <v>160</v>
      </c>
      <c r="D526">
        <v>0</v>
      </c>
      <c r="E526">
        <v>150</v>
      </c>
      <c r="F526">
        <v>0</v>
      </c>
      <c r="G526">
        <v>0</v>
      </c>
    </row>
    <row r="527" spans="1:7" x14ac:dyDescent="0.3">
      <c r="A527">
        <v>45</v>
      </c>
      <c r="B527">
        <v>130</v>
      </c>
      <c r="C527">
        <v>236</v>
      </c>
      <c r="D527">
        <v>0</v>
      </c>
      <c r="E527">
        <v>144</v>
      </c>
      <c r="F527">
        <v>0.1</v>
      </c>
      <c r="G527">
        <v>0</v>
      </c>
    </row>
    <row r="528" spans="1:7" x14ac:dyDescent="0.3">
      <c r="A528">
        <v>65</v>
      </c>
      <c r="B528">
        <v>144</v>
      </c>
      <c r="C528">
        <v>312</v>
      </c>
      <c r="D528">
        <v>0</v>
      </c>
      <c r="E528">
        <v>113</v>
      </c>
      <c r="F528">
        <v>1.7</v>
      </c>
      <c r="G528">
        <v>1</v>
      </c>
    </row>
    <row r="529" spans="1:7" x14ac:dyDescent="0.3">
      <c r="A529">
        <v>61</v>
      </c>
      <c r="B529">
        <v>139</v>
      </c>
      <c r="C529">
        <v>283</v>
      </c>
      <c r="D529">
        <v>0</v>
      </c>
      <c r="E529">
        <v>135</v>
      </c>
      <c r="F529">
        <v>0.3</v>
      </c>
      <c r="G529">
        <v>0</v>
      </c>
    </row>
    <row r="530" spans="1:7" x14ac:dyDescent="0.3">
      <c r="A530">
        <v>49</v>
      </c>
      <c r="B530">
        <v>131</v>
      </c>
      <c r="C530">
        <v>142</v>
      </c>
      <c r="D530">
        <v>0</v>
      </c>
      <c r="E530">
        <v>127</v>
      </c>
      <c r="F530">
        <v>1.5</v>
      </c>
      <c r="G530">
        <v>1</v>
      </c>
    </row>
    <row r="531" spans="1:7" x14ac:dyDescent="0.3">
      <c r="A531">
        <v>72</v>
      </c>
      <c r="B531">
        <v>143</v>
      </c>
      <c r="C531">
        <v>211</v>
      </c>
      <c r="D531">
        <v>0</v>
      </c>
      <c r="E531">
        <v>109</v>
      </c>
      <c r="F531">
        <v>1.4</v>
      </c>
      <c r="G531">
        <v>1</v>
      </c>
    </row>
    <row r="532" spans="1:7" x14ac:dyDescent="0.3">
      <c r="A532">
        <v>50</v>
      </c>
      <c r="B532">
        <v>133</v>
      </c>
      <c r="C532">
        <v>218</v>
      </c>
      <c r="D532">
        <v>0</v>
      </c>
      <c r="E532">
        <v>128</v>
      </c>
      <c r="F532">
        <v>1.1000000000000001</v>
      </c>
      <c r="G532">
        <v>1</v>
      </c>
    </row>
    <row r="533" spans="1:7" x14ac:dyDescent="0.3">
      <c r="A533">
        <v>64</v>
      </c>
      <c r="B533">
        <v>143</v>
      </c>
      <c r="C533">
        <v>306</v>
      </c>
      <c r="D533">
        <v>1</v>
      </c>
      <c r="E533">
        <v>115</v>
      </c>
      <c r="F533">
        <v>1.8</v>
      </c>
      <c r="G533">
        <v>1</v>
      </c>
    </row>
    <row r="534" spans="1:7" x14ac:dyDescent="0.3">
      <c r="A534">
        <v>55</v>
      </c>
      <c r="B534">
        <v>116</v>
      </c>
      <c r="C534">
        <v>186</v>
      </c>
      <c r="D534">
        <v>1</v>
      </c>
      <c r="E534">
        <v>102</v>
      </c>
      <c r="F534">
        <v>0</v>
      </c>
      <c r="G534">
        <v>1</v>
      </c>
    </row>
    <row r="535" spans="1:7" x14ac:dyDescent="0.3">
      <c r="A535">
        <v>63</v>
      </c>
      <c r="B535">
        <v>110</v>
      </c>
      <c r="C535">
        <v>252</v>
      </c>
      <c r="D535">
        <v>0</v>
      </c>
      <c r="E535">
        <v>140</v>
      </c>
      <c r="F535">
        <v>2</v>
      </c>
      <c r="G535">
        <v>1</v>
      </c>
    </row>
    <row r="536" spans="1:7" x14ac:dyDescent="0.3">
      <c r="A536">
        <v>59</v>
      </c>
      <c r="B536">
        <v>125</v>
      </c>
      <c r="C536">
        <v>222</v>
      </c>
      <c r="D536">
        <v>0</v>
      </c>
      <c r="E536">
        <v>135</v>
      </c>
      <c r="F536">
        <v>2.5</v>
      </c>
      <c r="G536">
        <v>1</v>
      </c>
    </row>
    <row r="537" spans="1:7" x14ac:dyDescent="0.3">
      <c r="A537">
        <v>56</v>
      </c>
      <c r="B537">
        <v>130</v>
      </c>
      <c r="C537">
        <v>0</v>
      </c>
      <c r="D537">
        <v>0</v>
      </c>
      <c r="E537">
        <v>122</v>
      </c>
      <c r="F537">
        <v>1</v>
      </c>
      <c r="G537">
        <v>1</v>
      </c>
    </row>
    <row r="538" spans="1:7" x14ac:dyDescent="0.3">
      <c r="A538">
        <v>62</v>
      </c>
      <c r="B538">
        <v>133</v>
      </c>
      <c r="C538">
        <v>0</v>
      </c>
      <c r="D538">
        <v>1</v>
      </c>
      <c r="E538">
        <v>119</v>
      </c>
      <c r="F538">
        <v>1.2</v>
      </c>
      <c r="G538">
        <v>1</v>
      </c>
    </row>
    <row r="539" spans="1:7" x14ac:dyDescent="0.3">
      <c r="A539">
        <v>74</v>
      </c>
      <c r="B539">
        <v>150</v>
      </c>
      <c r="C539">
        <v>258</v>
      </c>
      <c r="D539">
        <v>1</v>
      </c>
      <c r="E539">
        <v>130</v>
      </c>
      <c r="F539">
        <v>4</v>
      </c>
      <c r="G539">
        <v>1</v>
      </c>
    </row>
    <row r="540" spans="1:7" x14ac:dyDescent="0.3">
      <c r="A540">
        <v>54</v>
      </c>
      <c r="B540">
        <v>130</v>
      </c>
      <c r="C540">
        <v>202</v>
      </c>
      <c r="D540">
        <v>1</v>
      </c>
      <c r="E540">
        <v>112</v>
      </c>
      <c r="F540">
        <v>2</v>
      </c>
      <c r="G540">
        <v>1</v>
      </c>
    </row>
    <row r="541" spans="1:7" x14ac:dyDescent="0.3">
      <c r="A541">
        <v>57</v>
      </c>
      <c r="B541">
        <v>110</v>
      </c>
      <c r="C541">
        <v>197</v>
      </c>
      <c r="D541">
        <v>0</v>
      </c>
      <c r="E541">
        <v>100</v>
      </c>
      <c r="F541">
        <v>0</v>
      </c>
      <c r="G541">
        <v>0</v>
      </c>
    </row>
    <row r="542" spans="1:7" x14ac:dyDescent="0.3">
      <c r="A542">
        <v>62</v>
      </c>
      <c r="B542">
        <v>138</v>
      </c>
      <c r="C542">
        <v>204</v>
      </c>
      <c r="D542">
        <v>0</v>
      </c>
      <c r="E542">
        <v>122</v>
      </c>
      <c r="F542">
        <v>1.2</v>
      </c>
      <c r="G542">
        <v>1</v>
      </c>
    </row>
    <row r="543" spans="1:7" x14ac:dyDescent="0.3">
      <c r="A543">
        <v>76</v>
      </c>
      <c r="B543">
        <v>104</v>
      </c>
      <c r="C543">
        <v>113</v>
      </c>
      <c r="D543">
        <v>0</v>
      </c>
      <c r="E543">
        <v>120</v>
      </c>
      <c r="F543">
        <v>3.5</v>
      </c>
      <c r="G543">
        <v>1</v>
      </c>
    </row>
    <row r="544" spans="1:7" x14ac:dyDescent="0.3">
      <c r="A544">
        <v>54</v>
      </c>
      <c r="B544">
        <v>138</v>
      </c>
      <c r="C544">
        <v>274</v>
      </c>
      <c r="D544">
        <v>0</v>
      </c>
      <c r="E544">
        <v>105</v>
      </c>
      <c r="F544">
        <v>1.5</v>
      </c>
      <c r="G544">
        <v>1</v>
      </c>
    </row>
    <row r="545" spans="1:7" x14ac:dyDescent="0.3">
      <c r="A545">
        <v>70</v>
      </c>
      <c r="B545">
        <v>170</v>
      </c>
      <c r="C545">
        <v>192</v>
      </c>
      <c r="D545">
        <v>0</v>
      </c>
      <c r="E545">
        <v>129</v>
      </c>
      <c r="F545">
        <v>3</v>
      </c>
      <c r="G545">
        <v>1</v>
      </c>
    </row>
    <row r="546" spans="1:7" x14ac:dyDescent="0.3">
      <c r="A546">
        <v>61</v>
      </c>
      <c r="B546">
        <v>140</v>
      </c>
      <c r="C546">
        <v>298</v>
      </c>
      <c r="D546">
        <v>1</v>
      </c>
      <c r="E546">
        <v>120</v>
      </c>
      <c r="F546">
        <v>0</v>
      </c>
      <c r="G546">
        <v>0</v>
      </c>
    </row>
    <row r="547" spans="1:7" x14ac:dyDescent="0.3">
      <c r="A547">
        <v>48</v>
      </c>
      <c r="B547">
        <v>132</v>
      </c>
      <c r="C547">
        <v>272</v>
      </c>
      <c r="D547">
        <v>0</v>
      </c>
      <c r="E547">
        <v>139</v>
      </c>
      <c r="F547">
        <v>0.2</v>
      </c>
      <c r="G547">
        <v>0</v>
      </c>
    </row>
    <row r="548" spans="1:7" x14ac:dyDescent="0.3">
      <c r="A548">
        <v>48</v>
      </c>
      <c r="B548">
        <v>132</v>
      </c>
      <c r="C548">
        <v>220</v>
      </c>
      <c r="D548">
        <v>1</v>
      </c>
      <c r="E548">
        <v>162</v>
      </c>
      <c r="F548">
        <v>0</v>
      </c>
      <c r="G548">
        <v>1</v>
      </c>
    </row>
    <row r="549" spans="1:7" x14ac:dyDescent="0.3">
      <c r="A549">
        <v>61</v>
      </c>
      <c r="B549">
        <v>142</v>
      </c>
      <c r="C549">
        <v>200</v>
      </c>
      <c r="D549">
        <v>1</v>
      </c>
      <c r="E549">
        <v>100</v>
      </c>
      <c r="F549">
        <v>1.5</v>
      </c>
      <c r="G549">
        <v>1</v>
      </c>
    </row>
    <row r="550" spans="1:7" x14ac:dyDescent="0.3">
      <c r="A550">
        <v>66</v>
      </c>
      <c r="B550">
        <v>112</v>
      </c>
      <c r="C550">
        <v>261</v>
      </c>
      <c r="D550">
        <v>0</v>
      </c>
      <c r="E550">
        <v>140</v>
      </c>
      <c r="F550">
        <v>1.5</v>
      </c>
      <c r="G550">
        <v>1</v>
      </c>
    </row>
    <row r="551" spans="1:7" x14ac:dyDescent="0.3">
      <c r="A551">
        <v>68</v>
      </c>
      <c r="B551">
        <v>139</v>
      </c>
      <c r="C551">
        <v>181</v>
      </c>
      <c r="D551">
        <v>1</v>
      </c>
      <c r="E551">
        <v>135</v>
      </c>
      <c r="F551">
        <v>0.2</v>
      </c>
      <c r="G551">
        <v>0</v>
      </c>
    </row>
    <row r="552" spans="1:7" x14ac:dyDescent="0.3">
      <c r="A552">
        <v>55</v>
      </c>
      <c r="B552">
        <v>172</v>
      </c>
      <c r="C552">
        <v>260</v>
      </c>
      <c r="D552">
        <v>0</v>
      </c>
      <c r="E552">
        <v>73</v>
      </c>
      <c r="F552">
        <v>2</v>
      </c>
      <c r="G552">
        <v>1</v>
      </c>
    </row>
    <row r="553" spans="1:7" x14ac:dyDescent="0.3">
      <c r="A553">
        <v>62</v>
      </c>
      <c r="B553">
        <v>120</v>
      </c>
      <c r="C553">
        <v>220</v>
      </c>
      <c r="D553">
        <v>0</v>
      </c>
      <c r="E553">
        <v>86</v>
      </c>
      <c r="F553">
        <v>0</v>
      </c>
      <c r="G553">
        <v>0</v>
      </c>
    </row>
    <row r="554" spans="1:7" x14ac:dyDescent="0.3">
      <c r="A554">
        <v>71</v>
      </c>
      <c r="B554">
        <v>144</v>
      </c>
      <c r="C554">
        <v>221</v>
      </c>
      <c r="D554">
        <v>0</v>
      </c>
      <c r="E554">
        <v>108</v>
      </c>
      <c r="F554">
        <v>1.8</v>
      </c>
      <c r="G554">
        <v>1</v>
      </c>
    </row>
    <row r="555" spans="1:7" x14ac:dyDescent="0.3">
      <c r="A555">
        <v>74</v>
      </c>
      <c r="B555">
        <v>145</v>
      </c>
      <c r="C555">
        <v>216</v>
      </c>
      <c r="D555">
        <v>1</v>
      </c>
      <c r="E555">
        <v>116</v>
      </c>
      <c r="F555">
        <v>1.8</v>
      </c>
      <c r="G555">
        <v>1</v>
      </c>
    </row>
    <row r="556" spans="1:7" x14ac:dyDescent="0.3">
      <c r="A556">
        <v>53</v>
      </c>
      <c r="B556">
        <v>155</v>
      </c>
      <c r="C556">
        <v>175</v>
      </c>
      <c r="D556">
        <v>1</v>
      </c>
      <c r="E556">
        <v>160</v>
      </c>
      <c r="F556">
        <v>0.3</v>
      </c>
      <c r="G556">
        <v>0</v>
      </c>
    </row>
    <row r="557" spans="1:7" x14ac:dyDescent="0.3">
      <c r="A557">
        <v>58</v>
      </c>
      <c r="B557">
        <v>150</v>
      </c>
      <c r="C557">
        <v>219</v>
      </c>
      <c r="D557">
        <v>0</v>
      </c>
      <c r="E557">
        <v>118</v>
      </c>
      <c r="F557">
        <v>0</v>
      </c>
      <c r="G557">
        <v>1</v>
      </c>
    </row>
    <row r="558" spans="1:7" x14ac:dyDescent="0.3">
      <c r="A558">
        <v>75</v>
      </c>
      <c r="B558">
        <v>160</v>
      </c>
      <c r="C558">
        <v>310</v>
      </c>
      <c r="D558">
        <v>1</v>
      </c>
      <c r="E558">
        <v>112</v>
      </c>
      <c r="F558">
        <v>2</v>
      </c>
      <c r="G558">
        <v>0</v>
      </c>
    </row>
    <row r="559" spans="1:7" x14ac:dyDescent="0.3">
      <c r="A559">
        <v>56</v>
      </c>
      <c r="B559">
        <v>137</v>
      </c>
      <c r="C559">
        <v>208</v>
      </c>
      <c r="D559">
        <v>1</v>
      </c>
      <c r="E559">
        <v>122</v>
      </c>
      <c r="F559">
        <v>1.8</v>
      </c>
      <c r="G559">
        <v>1</v>
      </c>
    </row>
    <row r="560" spans="1:7" x14ac:dyDescent="0.3">
      <c r="A560">
        <v>58</v>
      </c>
      <c r="B560">
        <v>137</v>
      </c>
      <c r="C560">
        <v>232</v>
      </c>
      <c r="D560">
        <v>0</v>
      </c>
      <c r="E560">
        <v>124</v>
      </c>
      <c r="F560">
        <v>1.4</v>
      </c>
      <c r="G560">
        <v>1</v>
      </c>
    </row>
    <row r="561" spans="1:7" x14ac:dyDescent="0.3">
      <c r="A561">
        <v>64</v>
      </c>
      <c r="B561">
        <v>134</v>
      </c>
      <c r="C561">
        <v>273</v>
      </c>
      <c r="D561">
        <v>0</v>
      </c>
      <c r="E561">
        <v>102</v>
      </c>
      <c r="F561">
        <v>4</v>
      </c>
      <c r="G561">
        <v>1</v>
      </c>
    </row>
    <row r="562" spans="1:7" x14ac:dyDescent="0.3">
      <c r="A562">
        <v>54</v>
      </c>
      <c r="B562">
        <v>133</v>
      </c>
      <c r="C562">
        <v>203</v>
      </c>
      <c r="D562">
        <v>0</v>
      </c>
      <c r="E562">
        <v>137</v>
      </c>
      <c r="F562">
        <v>0.2</v>
      </c>
      <c r="G562">
        <v>0</v>
      </c>
    </row>
    <row r="563" spans="1:7" x14ac:dyDescent="0.3">
      <c r="A563">
        <v>54</v>
      </c>
      <c r="B563">
        <v>132</v>
      </c>
      <c r="C563">
        <v>182</v>
      </c>
      <c r="D563">
        <v>0</v>
      </c>
      <c r="E563">
        <v>141</v>
      </c>
      <c r="F563">
        <v>0.1</v>
      </c>
      <c r="G563">
        <v>0</v>
      </c>
    </row>
    <row r="564" spans="1:7" x14ac:dyDescent="0.3">
      <c r="A564">
        <v>59</v>
      </c>
      <c r="B564">
        <v>140</v>
      </c>
      <c r="C564">
        <v>274</v>
      </c>
      <c r="D564">
        <v>0</v>
      </c>
      <c r="E564">
        <v>154</v>
      </c>
      <c r="F564">
        <v>2</v>
      </c>
      <c r="G564">
        <v>0</v>
      </c>
    </row>
    <row r="565" spans="1:7" x14ac:dyDescent="0.3">
      <c r="A565">
        <v>55</v>
      </c>
      <c r="B565">
        <v>135</v>
      </c>
      <c r="C565">
        <v>204</v>
      </c>
      <c r="D565">
        <v>1</v>
      </c>
      <c r="E565">
        <v>126</v>
      </c>
      <c r="F565">
        <v>1.1000000000000001</v>
      </c>
      <c r="G565">
        <v>1</v>
      </c>
    </row>
    <row r="566" spans="1:7" x14ac:dyDescent="0.3">
      <c r="A566">
        <v>57</v>
      </c>
      <c r="B566">
        <v>144</v>
      </c>
      <c r="C566">
        <v>270</v>
      </c>
      <c r="D566">
        <v>1</v>
      </c>
      <c r="E566">
        <v>160</v>
      </c>
      <c r="F566">
        <v>2</v>
      </c>
      <c r="G566">
        <v>1</v>
      </c>
    </row>
    <row r="567" spans="1:7" x14ac:dyDescent="0.3">
      <c r="A567">
        <v>61</v>
      </c>
      <c r="B567">
        <v>141</v>
      </c>
      <c r="C567">
        <v>292</v>
      </c>
      <c r="D567">
        <v>0</v>
      </c>
      <c r="E567">
        <v>115</v>
      </c>
      <c r="F567">
        <v>1.7</v>
      </c>
      <c r="G567">
        <v>1</v>
      </c>
    </row>
    <row r="568" spans="1:7" x14ac:dyDescent="0.3">
      <c r="A568">
        <v>41</v>
      </c>
      <c r="B568">
        <v>150</v>
      </c>
      <c r="C568">
        <v>171</v>
      </c>
      <c r="D568">
        <v>0</v>
      </c>
      <c r="E568">
        <v>128</v>
      </c>
      <c r="F568">
        <v>1.5</v>
      </c>
      <c r="G568">
        <v>0</v>
      </c>
    </row>
    <row r="569" spans="1:7" x14ac:dyDescent="0.3">
      <c r="A569">
        <v>71</v>
      </c>
      <c r="B569">
        <v>130</v>
      </c>
      <c r="C569">
        <v>221</v>
      </c>
      <c r="D569">
        <v>0</v>
      </c>
      <c r="E569">
        <v>115</v>
      </c>
      <c r="F569">
        <v>0</v>
      </c>
      <c r="G569">
        <v>1</v>
      </c>
    </row>
    <row r="570" spans="1:7" x14ac:dyDescent="0.3">
      <c r="A570">
        <v>38</v>
      </c>
      <c r="B570">
        <v>110</v>
      </c>
      <c r="C570">
        <v>289</v>
      </c>
      <c r="D570">
        <v>0</v>
      </c>
      <c r="E570">
        <v>105</v>
      </c>
      <c r="F570">
        <v>1.5</v>
      </c>
      <c r="G570">
        <v>1</v>
      </c>
    </row>
    <row r="571" spans="1:7" x14ac:dyDescent="0.3">
      <c r="A571">
        <v>55</v>
      </c>
      <c r="B571">
        <v>158</v>
      </c>
      <c r="C571">
        <v>217</v>
      </c>
      <c r="D571">
        <v>0</v>
      </c>
      <c r="E571">
        <v>110</v>
      </c>
      <c r="F571">
        <v>2.5</v>
      </c>
      <c r="G571">
        <v>1</v>
      </c>
    </row>
    <row r="572" spans="1:7" x14ac:dyDescent="0.3">
      <c r="A572">
        <v>56</v>
      </c>
      <c r="B572">
        <v>128</v>
      </c>
      <c r="C572">
        <v>223</v>
      </c>
      <c r="D572">
        <v>0</v>
      </c>
      <c r="E572">
        <v>119</v>
      </c>
      <c r="F572">
        <v>2</v>
      </c>
      <c r="G572">
        <v>1</v>
      </c>
    </row>
    <row r="573" spans="1:7" x14ac:dyDescent="0.3">
      <c r="A573">
        <v>69</v>
      </c>
      <c r="B573">
        <v>140</v>
      </c>
      <c r="C573">
        <v>110</v>
      </c>
      <c r="D573">
        <v>1</v>
      </c>
      <c r="E573">
        <v>109</v>
      </c>
      <c r="F573">
        <v>1.5</v>
      </c>
      <c r="G573">
        <v>1</v>
      </c>
    </row>
    <row r="574" spans="1:7" x14ac:dyDescent="0.3">
      <c r="A574">
        <v>64</v>
      </c>
      <c r="B574">
        <v>150</v>
      </c>
      <c r="C574">
        <v>193</v>
      </c>
      <c r="D574">
        <v>0</v>
      </c>
      <c r="E574">
        <v>135</v>
      </c>
      <c r="F574">
        <v>0.5</v>
      </c>
      <c r="G574">
        <v>1</v>
      </c>
    </row>
    <row r="575" spans="1:7" x14ac:dyDescent="0.3">
      <c r="A575">
        <v>72</v>
      </c>
      <c r="B575">
        <v>160</v>
      </c>
      <c r="C575">
        <v>123</v>
      </c>
      <c r="D575">
        <v>1</v>
      </c>
      <c r="E575">
        <v>130</v>
      </c>
      <c r="F575">
        <v>1.5</v>
      </c>
      <c r="G575">
        <v>1</v>
      </c>
    </row>
    <row r="576" spans="1:7" x14ac:dyDescent="0.3">
      <c r="A576">
        <v>69</v>
      </c>
      <c r="B576">
        <v>142</v>
      </c>
      <c r="C576">
        <v>210</v>
      </c>
      <c r="D576">
        <v>1</v>
      </c>
      <c r="E576">
        <v>112</v>
      </c>
      <c r="F576">
        <v>1.5</v>
      </c>
      <c r="G576">
        <v>1</v>
      </c>
    </row>
    <row r="577" spans="1:7" x14ac:dyDescent="0.3">
      <c r="A577">
        <v>56</v>
      </c>
      <c r="B577">
        <v>137</v>
      </c>
      <c r="C577">
        <v>282</v>
      </c>
      <c r="D577">
        <v>1</v>
      </c>
      <c r="E577">
        <v>126</v>
      </c>
      <c r="F577">
        <v>1.2</v>
      </c>
      <c r="G577">
        <v>1</v>
      </c>
    </row>
    <row r="578" spans="1:7" x14ac:dyDescent="0.3">
      <c r="A578">
        <v>62</v>
      </c>
      <c r="B578">
        <v>139</v>
      </c>
      <c r="C578">
        <v>170</v>
      </c>
      <c r="D578">
        <v>0</v>
      </c>
      <c r="E578">
        <v>120</v>
      </c>
      <c r="F578">
        <v>3</v>
      </c>
      <c r="G578">
        <v>1</v>
      </c>
    </row>
    <row r="579" spans="1:7" x14ac:dyDescent="0.3">
      <c r="A579">
        <v>67</v>
      </c>
      <c r="B579">
        <v>146</v>
      </c>
      <c r="C579">
        <v>369</v>
      </c>
      <c r="D579">
        <v>0</v>
      </c>
      <c r="E579">
        <v>110</v>
      </c>
      <c r="F579">
        <v>1.9</v>
      </c>
      <c r="G579">
        <v>1</v>
      </c>
    </row>
    <row r="580" spans="1:7" x14ac:dyDescent="0.3">
      <c r="A580">
        <v>57</v>
      </c>
      <c r="B580">
        <v>156</v>
      </c>
      <c r="C580">
        <v>173</v>
      </c>
      <c r="D580">
        <v>0</v>
      </c>
      <c r="E580">
        <v>119</v>
      </c>
      <c r="F580">
        <v>3</v>
      </c>
      <c r="G580">
        <v>1</v>
      </c>
    </row>
    <row r="581" spans="1:7" x14ac:dyDescent="0.3">
      <c r="A581">
        <v>69</v>
      </c>
      <c r="B581">
        <v>145</v>
      </c>
      <c r="C581">
        <v>289</v>
      </c>
      <c r="D581">
        <v>1</v>
      </c>
      <c r="E581">
        <v>110</v>
      </c>
      <c r="F581">
        <v>1.8</v>
      </c>
      <c r="G581">
        <v>1</v>
      </c>
    </row>
    <row r="582" spans="1:7" x14ac:dyDescent="0.3">
      <c r="A582">
        <v>51</v>
      </c>
      <c r="B582">
        <v>131</v>
      </c>
      <c r="C582">
        <v>152</v>
      </c>
      <c r="D582">
        <v>1</v>
      </c>
      <c r="E582">
        <v>130</v>
      </c>
      <c r="F582">
        <v>1</v>
      </c>
      <c r="G582">
        <v>1</v>
      </c>
    </row>
    <row r="583" spans="1:7" x14ac:dyDescent="0.3">
      <c r="A583">
        <v>48</v>
      </c>
      <c r="B583">
        <v>140</v>
      </c>
      <c r="C583">
        <v>208</v>
      </c>
      <c r="D583">
        <v>0</v>
      </c>
      <c r="E583">
        <v>159</v>
      </c>
      <c r="F583">
        <v>1.5</v>
      </c>
      <c r="G583">
        <v>1</v>
      </c>
    </row>
    <row r="584" spans="1:7" x14ac:dyDescent="0.3">
      <c r="A584">
        <v>69</v>
      </c>
      <c r="B584">
        <v>122</v>
      </c>
      <c r="C584">
        <v>216</v>
      </c>
      <c r="D584">
        <v>1</v>
      </c>
      <c r="E584">
        <v>84</v>
      </c>
      <c r="F584">
        <v>0</v>
      </c>
      <c r="G584">
        <v>1</v>
      </c>
    </row>
    <row r="585" spans="1:7" x14ac:dyDescent="0.3">
      <c r="A585">
        <v>69</v>
      </c>
      <c r="B585">
        <v>142</v>
      </c>
      <c r="C585">
        <v>271</v>
      </c>
      <c r="D585">
        <v>0</v>
      </c>
      <c r="E585">
        <v>126</v>
      </c>
      <c r="F585">
        <v>0.3</v>
      </c>
      <c r="G585">
        <v>0</v>
      </c>
    </row>
    <row r="586" spans="1:7" x14ac:dyDescent="0.3">
      <c r="A586">
        <v>64</v>
      </c>
      <c r="B586">
        <v>141</v>
      </c>
      <c r="C586">
        <v>244</v>
      </c>
      <c r="D586">
        <v>1</v>
      </c>
      <c r="E586">
        <v>116</v>
      </c>
      <c r="F586">
        <v>1.5</v>
      </c>
      <c r="G586">
        <v>1</v>
      </c>
    </row>
    <row r="587" spans="1:7" x14ac:dyDescent="0.3">
      <c r="A587">
        <v>57</v>
      </c>
      <c r="B587">
        <v>180</v>
      </c>
      <c r="C587">
        <v>285</v>
      </c>
      <c r="D587">
        <v>1</v>
      </c>
      <c r="E587">
        <v>120</v>
      </c>
      <c r="F587">
        <v>0.8</v>
      </c>
      <c r="G587">
        <v>1</v>
      </c>
    </row>
    <row r="588" spans="1:7" x14ac:dyDescent="0.3">
      <c r="A588">
        <v>53</v>
      </c>
      <c r="B588">
        <v>124</v>
      </c>
      <c r="C588">
        <v>243</v>
      </c>
      <c r="D588">
        <v>0</v>
      </c>
      <c r="E588">
        <v>122</v>
      </c>
      <c r="F588">
        <v>2</v>
      </c>
      <c r="G588">
        <v>1</v>
      </c>
    </row>
    <row r="589" spans="1:7" x14ac:dyDescent="0.3">
      <c r="A589">
        <v>37</v>
      </c>
      <c r="B589">
        <v>118</v>
      </c>
      <c r="C589">
        <v>240</v>
      </c>
      <c r="D589">
        <v>0</v>
      </c>
      <c r="E589">
        <v>165</v>
      </c>
      <c r="F589">
        <v>1</v>
      </c>
      <c r="G589">
        <v>0</v>
      </c>
    </row>
    <row r="590" spans="1:7" x14ac:dyDescent="0.3">
      <c r="A590">
        <v>67</v>
      </c>
      <c r="B590">
        <v>140</v>
      </c>
      <c r="C590">
        <v>219</v>
      </c>
      <c r="D590">
        <v>0</v>
      </c>
      <c r="E590">
        <v>122</v>
      </c>
      <c r="F590">
        <v>2</v>
      </c>
      <c r="G590">
        <v>1</v>
      </c>
    </row>
    <row r="591" spans="1:7" x14ac:dyDescent="0.3">
      <c r="A591">
        <v>74</v>
      </c>
      <c r="B591">
        <v>140</v>
      </c>
      <c r="C591">
        <v>237</v>
      </c>
      <c r="D591">
        <v>1</v>
      </c>
      <c r="E591">
        <v>94</v>
      </c>
      <c r="F591">
        <v>0</v>
      </c>
      <c r="G591">
        <v>1</v>
      </c>
    </row>
    <row r="592" spans="1:7" x14ac:dyDescent="0.3">
      <c r="A592">
        <v>63</v>
      </c>
      <c r="B592">
        <v>136</v>
      </c>
      <c r="C592">
        <v>165</v>
      </c>
      <c r="D592">
        <v>0</v>
      </c>
      <c r="E592">
        <v>133</v>
      </c>
      <c r="F592">
        <v>0.2</v>
      </c>
      <c r="G592">
        <v>0</v>
      </c>
    </row>
    <row r="593" spans="1:7" x14ac:dyDescent="0.3">
      <c r="A593">
        <v>58</v>
      </c>
      <c r="B593">
        <v>100</v>
      </c>
      <c r="C593">
        <v>213</v>
      </c>
      <c r="D593">
        <v>0</v>
      </c>
      <c r="E593">
        <v>110</v>
      </c>
      <c r="F593">
        <v>0</v>
      </c>
      <c r="G593">
        <v>0</v>
      </c>
    </row>
    <row r="594" spans="1:7" x14ac:dyDescent="0.3">
      <c r="A594">
        <v>61</v>
      </c>
      <c r="B594">
        <v>190</v>
      </c>
      <c r="C594">
        <v>287</v>
      </c>
      <c r="D594">
        <v>1</v>
      </c>
      <c r="E594">
        <v>150</v>
      </c>
      <c r="F594">
        <v>2</v>
      </c>
      <c r="G594">
        <v>1</v>
      </c>
    </row>
    <row r="595" spans="1:7" x14ac:dyDescent="0.3">
      <c r="A595">
        <v>64</v>
      </c>
      <c r="B595">
        <v>130</v>
      </c>
      <c r="C595">
        <v>258</v>
      </c>
      <c r="D595">
        <v>1</v>
      </c>
      <c r="E595">
        <v>130</v>
      </c>
      <c r="F595">
        <v>0</v>
      </c>
      <c r="G595">
        <v>1</v>
      </c>
    </row>
    <row r="596" spans="1:7" x14ac:dyDescent="0.3">
      <c r="A596">
        <v>58</v>
      </c>
      <c r="B596">
        <v>160</v>
      </c>
      <c r="C596">
        <v>256</v>
      </c>
      <c r="D596">
        <v>1</v>
      </c>
      <c r="E596">
        <v>113</v>
      </c>
      <c r="F596">
        <v>1</v>
      </c>
      <c r="G596">
        <v>1</v>
      </c>
    </row>
    <row r="597" spans="1:7" x14ac:dyDescent="0.3">
      <c r="A597">
        <v>60</v>
      </c>
      <c r="B597">
        <v>130</v>
      </c>
      <c r="C597">
        <v>186</v>
      </c>
      <c r="D597">
        <v>1</v>
      </c>
      <c r="E597">
        <v>140</v>
      </c>
      <c r="F597">
        <v>0.5</v>
      </c>
      <c r="G597">
        <v>1</v>
      </c>
    </row>
    <row r="598" spans="1:7" x14ac:dyDescent="0.3">
      <c r="A598">
        <v>57</v>
      </c>
      <c r="B598">
        <v>122</v>
      </c>
      <c r="C598">
        <v>264</v>
      </c>
      <c r="D598">
        <v>0</v>
      </c>
      <c r="E598">
        <v>100</v>
      </c>
      <c r="F598">
        <v>0</v>
      </c>
      <c r="G598">
        <v>1</v>
      </c>
    </row>
    <row r="599" spans="1:7" x14ac:dyDescent="0.3">
      <c r="A599">
        <v>55</v>
      </c>
      <c r="B599">
        <v>133</v>
      </c>
      <c r="C599">
        <v>185</v>
      </c>
      <c r="D599">
        <v>0</v>
      </c>
      <c r="E599">
        <v>136</v>
      </c>
      <c r="F599">
        <v>0.2</v>
      </c>
      <c r="G599">
        <v>0</v>
      </c>
    </row>
    <row r="600" spans="1:7" x14ac:dyDescent="0.3">
      <c r="A600">
        <v>55</v>
      </c>
      <c r="B600">
        <v>120</v>
      </c>
      <c r="C600">
        <v>226</v>
      </c>
      <c r="D600">
        <v>0</v>
      </c>
      <c r="E600">
        <v>127</v>
      </c>
      <c r="F600">
        <v>1.7</v>
      </c>
      <c r="G600">
        <v>1</v>
      </c>
    </row>
    <row r="601" spans="1:7" x14ac:dyDescent="0.3">
      <c r="A601">
        <v>56</v>
      </c>
      <c r="B601">
        <v>130</v>
      </c>
      <c r="C601">
        <v>203</v>
      </c>
      <c r="D601">
        <v>1</v>
      </c>
      <c r="E601">
        <v>98</v>
      </c>
      <c r="F601">
        <v>1.5</v>
      </c>
      <c r="G601">
        <v>1</v>
      </c>
    </row>
    <row r="602" spans="1:7" x14ac:dyDescent="0.3">
      <c r="A602">
        <v>57</v>
      </c>
      <c r="B602">
        <v>130</v>
      </c>
      <c r="C602">
        <v>207</v>
      </c>
      <c r="D602">
        <v>0</v>
      </c>
      <c r="E602">
        <v>96</v>
      </c>
      <c r="F602">
        <v>1</v>
      </c>
      <c r="G602">
        <v>0</v>
      </c>
    </row>
    <row r="603" spans="1:7" x14ac:dyDescent="0.3">
      <c r="A603">
        <v>61</v>
      </c>
      <c r="B603">
        <v>140</v>
      </c>
      <c r="C603">
        <v>284</v>
      </c>
      <c r="D603">
        <v>0</v>
      </c>
      <c r="E603">
        <v>123</v>
      </c>
      <c r="F603">
        <v>1.3</v>
      </c>
      <c r="G603">
        <v>1</v>
      </c>
    </row>
    <row r="604" spans="1:7" x14ac:dyDescent="0.3">
      <c r="A604">
        <v>61</v>
      </c>
      <c r="B604">
        <v>120</v>
      </c>
      <c r="C604">
        <v>337</v>
      </c>
      <c r="D604">
        <v>0</v>
      </c>
      <c r="E604">
        <v>98</v>
      </c>
      <c r="F604">
        <v>0</v>
      </c>
      <c r="G604">
        <v>1</v>
      </c>
    </row>
    <row r="605" spans="1:7" x14ac:dyDescent="0.3">
      <c r="A605">
        <v>74</v>
      </c>
      <c r="B605">
        <v>155</v>
      </c>
      <c r="C605">
        <v>310</v>
      </c>
      <c r="D605">
        <v>0</v>
      </c>
      <c r="E605">
        <v>112</v>
      </c>
      <c r="F605">
        <v>1.5</v>
      </c>
      <c r="G605">
        <v>1</v>
      </c>
    </row>
    <row r="606" spans="1:7" x14ac:dyDescent="0.3">
      <c r="A606">
        <v>68</v>
      </c>
      <c r="B606">
        <v>134</v>
      </c>
      <c r="C606">
        <v>254</v>
      </c>
      <c r="D606">
        <v>1</v>
      </c>
      <c r="E606">
        <v>151</v>
      </c>
      <c r="F606">
        <v>0</v>
      </c>
      <c r="G606">
        <v>0</v>
      </c>
    </row>
    <row r="607" spans="1:7" x14ac:dyDescent="0.3">
      <c r="A607">
        <v>51</v>
      </c>
      <c r="B607">
        <v>114</v>
      </c>
      <c r="C607">
        <v>258</v>
      </c>
      <c r="D607">
        <v>1</v>
      </c>
      <c r="E607">
        <v>96</v>
      </c>
      <c r="F607">
        <v>1</v>
      </c>
      <c r="G607">
        <v>0</v>
      </c>
    </row>
    <row r="608" spans="1:7" x14ac:dyDescent="0.3">
      <c r="A608">
        <v>62</v>
      </c>
      <c r="B608">
        <v>160</v>
      </c>
      <c r="C608">
        <v>254</v>
      </c>
      <c r="D608">
        <v>1</v>
      </c>
      <c r="E608">
        <v>108</v>
      </c>
      <c r="F608">
        <v>3</v>
      </c>
      <c r="G608">
        <v>1</v>
      </c>
    </row>
    <row r="609" spans="1:7" x14ac:dyDescent="0.3">
      <c r="A609">
        <v>53</v>
      </c>
      <c r="B609">
        <v>144</v>
      </c>
      <c r="C609">
        <v>300</v>
      </c>
      <c r="D609">
        <v>1</v>
      </c>
      <c r="E609">
        <v>128</v>
      </c>
      <c r="F609">
        <v>1.5</v>
      </c>
      <c r="G609">
        <v>1</v>
      </c>
    </row>
    <row r="610" spans="1:7" x14ac:dyDescent="0.3">
      <c r="A610">
        <v>62</v>
      </c>
      <c r="B610">
        <v>158</v>
      </c>
      <c r="C610">
        <v>170</v>
      </c>
      <c r="D610">
        <v>0</v>
      </c>
      <c r="E610">
        <v>138</v>
      </c>
      <c r="F610">
        <v>0</v>
      </c>
      <c r="G610">
        <v>1</v>
      </c>
    </row>
    <row r="611" spans="1:7" x14ac:dyDescent="0.3">
      <c r="A611">
        <v>46</v>
      </c>
      <c r="B611">
        <v>134</v>
      </c>
      <c r="C611">
        <v>310</v>
      </c>
      <c r="D611">
        <v>0</v>
      </c>
      <c r="E611">
        <v>126</v>
      </c>
      <c r="F611">
        <v>0</v>
      </c>
      <c r="G611">
        <v>1</v>
      </c>
    </row>
    <row r="612" spans="1:7" x14ac:dyDescent="0.3">
      <c r="A612">
        <v>54</v>
      </c>
      <c r="B612">
        <v>127</v>
      </c>
      <c r="C612">
        <v>333</v>
      </c>
      <c r="D612">
        <v>1</v>
      </c>
      <c r="E612">
        <v>154</v>
      </c>
      <c r="F612">
        <v>0</v>
      </c>
      <c r="G612">
        <v>1</v>
      </c>
    </row>
    <row r="613" spans="1:7" x14ac:dyDescent="0.3">
      <c r="A613">
        <v>62</v>
      </c>
      <c r="B613">
        <v>135</v>
      </c>
      <c r="C613">
        <v>139</v>
      </c>
      <c r="D613">
        <v>0</v>
      </c>
      <c r="E613">
        <v>137</v>
      </c>
      <c r="F613">
        <v>0.2</v>
      </c>
      <c r="G613">
        <v>0</v>
      </c>
    </row>
    <row r="614" spans="1:7" x14ac:dyDescent="0.3">
      <c r="A614">
        <v>55</v>
      </c>
      <c r="B614">
        <v>122</v>
      </c>
      <c r="C614">
        <v>223</v>
      </c>
      <c r="D614">
        <v>1</v>
      </c>
      <c r="E614">
        <v>100</v>
      </c>
      <c r="F614">
        <v>0</v>
      </c>
      <c r="G614">
        <v>1</v>
      </c>
    </row>
    <row r="615" spans="1:7" x14ac:dyDescent="0.3">
      <c r="A615">
        <v>58</v>
      </c>
      <c r="B615">
        <v>140</v>
      </c>
      <c r="C615">
        <v>385</v>
      </c>
      <c r="D615">
        <v>1</v>
      </c>
      <c r="E615">
        <v>135</v>
      </c>
      <c r="F615">
        <v>0.3</v>
      </c>
      <c r="G615">
        <v>0</v>
      </c>
    </row>
    <row r="616" spans="1:7" x14ac:dyDescent="0.3">
      <c r="A616">
        <v>62</v>
      </c>
      <c r="B616">
        <v>120</v>
      </c>
      <c r="C616">
        <v>254</v>
      </c>
      <c r="D616">
        <v>0</v>
      </c>
      <c r="E616">
        <v>93</v>
      </c>
      <c r="F616">
        <v>0</v>
      </c>
      <c r="G616">
        <v>1</v>
      </c>
    </row>
    <row r="617" spans="1:7" x14ac:dyDescent="0.3">
      <c r="A617">
        <v>70</v>
      </c>
      <c r="B617">
        <v>130</v>
      </c>
      <c r="C617">
        <v>322</v>
      </c>
      <c r="D617">
        <v>0</v>
      </c>
      <c r="E617">
        <v>109</v>
      </c>
      <c r="F617">
        <v>2.4</v>
      </c>
      <c r="G617">
        <v>1</v>
      </c>
    </row>
    <row r="618" spans="1:7" x14ac:dyDescent="0.3">
      <c r="A618">
        <v>67</v>
      </c>
      <c r="B618">
        <v>115</v>
      </c>
      <c r="C618">
        <v>564</v>
      </c>
      <c r="D618">
        <v>0</v>
      </c>
      <c r="E618">
        <v>160</v>
      </c>
      <c r="F618">
        <v>1.6</v>
      </c>
      <c r="G618">
        <v>0</v>
      </c>
    </row>
    <row r="619" spans="1:7" x14ac:dyDescent="0.3">
      <c r="A619">
        <v>57</v>
      </c>
      <c r="B619">
        <v>124</v>
      </c>
      <c r="C619">
        <v>261</v>
      </c>
      <c r="D619">
        <v>0</v>
      </c>
      <c r="E619">
        <v>141</v>
      </c>
      <c r="F619">
        <v>0.3</v>
      </c>
      <c r="G619">
        <v>1</v>
      </c>
    </row>
    <row r="620" spans="1:7" x14ac:dyDescent="0.3">
      <c r="A620">
        <v>64</v>
      </c>
      <c r="B620">
        <v>128</v>
      </c>
      <c r="C620">
        <v>263</v>
      </c>
      <c r="D620">
        <v>0</v>
      </c>
      <c r="E620">
        <v>105</v>
      </c>
      <c r="F620">
        <v>0.2</v>
      </c>
      <c r="G620">
        <v>0</v>
      </c>
    </row>
    <row r="621" spans="1:7" x14ac:dyDescent="0.3">
      <c r="A621">
        <v>74</v>
      </c>
      <c r="B621">
        <v>120</v>
      </c>
      <c r="C621">
        <v>269</v>
      </c>
      <c r="D621">
        <v>0</v>
      </c>
      <c r="E621">
        <v>121</v>
      </c>
      <c r="F621">
        <v>0.2</v>
      </c>
      <c r="G621">
        <v>0</v>
      </c>
    </row>
    <row r="622" spans="1:7" x14ac:dyDescent="0.3">
      <c r="A622">
        <v>65</v>
      </c>
      <c r="B622">
        <v>120</v>
      </c>
      <c r="C622">
        <v>177</v>
      </c>
      <c r="D622">
        <v>0</v>
      </c>
      <c r="E622">
        <v>140</v>
      </c>
      <c r="F622">
        <v>0.4</v>
      </c>
      <c r="G622">
        <v>0</v>
      </c>
    </row>
    <row r="623" spans="1:7" x14ac:dyDescent="0.3">
      <c r="A623">
        <v>56</v>
      </c>
      <c r="B623">
        <v>130</v>
      </c>
      <c r="C623">
        <v>256</v>
      </c>
      <c r="D623">
        <v>1</v>
      </c>
      <c r="E623">
        <v>142</v>
      </c>
      <c r="F623">
        <v>0.6</v>
      </c>
      <c r="G623">
        <v>1</v>
      </c>
    </row>
    <row r="624" spans="1:7" x14ac:dyDescent="0.3">
      <c r="A624">
        <v>59</v>
      </c>
      <c r="B624">
        <v>110</v>
      </c>
      <c r="C624">
        <v>239</v>
      </c>
      <c r="D624">
        <v>0</v>
      </c>
      <c r="E624">
        <v>142</v>
      </c>
      <c r="F624">
        <v>1.2</v>
      </c>
      <c r="G624">
        <v>1</v>
      </c>
    </row>
    <row r="625" spans="1:7" x14ac:dyDescent="0.3">
      <c r="A625">
        <v>60</v>
      </c>
      <c r="B625">
        <v>140</v>
      </c>
      <c r="C625">
        <v>293</v>
      </c>
      <c r="D625">
        <v>0</v>
      </c>
      <c r="E625">
        <v>170</v>
      </c>
      <c r="F625">
        <v>1.2</v>
      </c>
      <c r="G625">
        <v>1</v>
      </c>
    </row>
    <row r="626" spans="1:7" x14ac:dyDescent="0.3">
      <c r="A626">
        <v>63</v>
      </c>
      <c r="B626">
        <v>150</v>
      </c>
      <c r="C626">
        <v>407</v>
      </c>
      <c r="D626">
        <v>0</v>
      </c>
      <c r="E626">
        <v>154</v>
      </c>
      <c r="F626">
        <v>4</v>
      </c>
      <c r="G626">
        <v>1</v>
      </c>
    </row>
    <row r="627" spans="1:7" x14ac:dyDescent="0.3">
      <c r="A627">
        <v>59</v>
      </c>
      <c r="B627">
        <v>135</v>
      </c>
      <c r="C627">
        <v>234</v>
      </c>
      <c r="D627">
        <v>0</v>
      </c>
      <c r="E627">
        <v>161</v>
      </c>
      <c r="F627">
        <v>0.5</v>
      </c>
      <c r="G627">
        <v>0</v>
      </c>
    </row>
    <row r="628" spans="1:7" x14ac:dyDescent="0.3">
      <c r="A628">
        <v>53</v>
      </c>
      <c r="B628">
        <v>142</v>
      </c>
      <c r="C628">
        <v>226</v>
      </c>
      <c r="D628">
        <v>0</v>
      </c>
      <c r="E628">
        <v>111</v>
      </c>
      <c r="F628">
        <v>0</v>
      </c>
      <c r="G628">
        <v>0</v>
      </c>
    </row>
    <row r="629" spans="1:7" x14ac:dyDescent="0.3">
      <c r="A629">
        <v>44</v>
      </c>
      <c r="B629">
        <v>140</v>
      </c>
      <c r="C629">
        <v>235</v>
      </c>
      <c r="D629">
        <v>0</v>
      </c>
      <c r="E629">
        <v>180</v>
      </c>
      <c r="F629">
        <v>0</v>
      </c>
      <c r="G629">
        <v>0</v>
      </c>
    </row>
    <row r="630" spans="1:7" x14ac:dyDescent="0.3">
      <c r="A630">
        <v>61</v>
      </c>
      <c r="B630">
        <v>134</v>
      </c>
      <c r="C630">
        <v>234</v>
      </c>
      <c r="D630">
        <v>0</v>
      </c>
      <c r="E630">
        <v>145</v>
      </c>
      <c r="F630">
        <v>2.6</v>
      </c>
      <c r="G630">
        <v>1</v>
      </c>
    </row>
    <row r="631" spans="1:7" x14ac:dyDescent="0.3">
      <c r="A631">
        <v>57</v>
      </c>
      <c r="B631">
        <v>128</v>
      </c>
      <c r="C631">
        <v>303</v>
      </c>
      <c r="D631">
        <v>0</v>
      </c>
      <c r="E631">
        <v>159</v>
      </c>
      <c r="F631">
        <v>0</v>
      </c>
      <c r="G631">
        <v>0</v>
      </c>
    </row>
    <row r="632" spans="1:7" x14ac:dyDescent="0.3">
      <c r="A632">
        <v>71</v>
      </c>
      <c r="B632">
        <v>112</v>
      </c>
      <c r="C632">
        <v>149</v>
      </c>
      <c r="D632">
        <v>0</v>
      </c>
      <c r="E632">
        <v>125</v>
      </c>
      <c r="F632">
        <v>1.6</v>
      </c>
      <c r="G632">
        <v>0</v>
      </c>
    </row>
    <row r="633" spans="1:7" x14ac:dyDescent="0.3">
      <c r="A633">
        <v>46</v>
      </c>
      <c r="B633">
        <v>140</v>
      </c>
      <c r="C633">
        <v>311</v>
      </c>
      <c r="D633">
        <v>0</v>
      </c>
      <c r="E633">
        <v>120</v>
      </c>
      <c r="F633">
        <v>1.8</v>
      </c>
      <c r="G633">
        <v>1</v>
      </c>
    </row>
    <row r="634" spans="1:7" x14ac:dyDescent="0.3">
      <c r="A634">
        <v>53</v>
      </c>
      <c r="B634">
        <v>140</v>
      </c>
      <c r="C634">
        <v>203</v>
      </c>
      <c r="D634">
        <v>1</v>
      </c>
      <c r="E634">
        <v>155</v>
      </c>
      <c r="F634">
        <v>3.1</v>
      </c>
      <c r="G634">
        <v>1</v>
      </c>
    </row>
    <row r="635" spans="1:7" x14ac:dyDescent="0.3">
      <c r="A635">
        <v>64</v>
      </c>
      <c r="B635">
        <v>110</v>
      </c>
      <c r="C635">
        <v>211</v>
      </c>
      <c r="D635">
        <v>0</v>
      </c>
      <c r="E635">
        <v>144</v>
      </c>
      <c r="F635">
        <v>1.8</v>
      </c>
      <c r="G635">
        <v>0</v>
      </c>
    </row>
    <row r="636" spans="1:7" x14ac:dyDescent="0.3">
      <c r="A636">
        <v>40</v>
      </c>
      <c r="B636">
        <v>140</v>
      </c>
      <c r="C636">
        <v>199</v>
      </c>
      <c r="D636">
        <v>0</v>
      </c>
      <c r="E636">
        <v>178</v>
      </c>
      <c r="F636">
        <v>1.4</v>
      </c>
      <c r="G636">
        <v>0</v>
      </c>
    </row>
    <row r="637" spans="1:7" x14ac:dyDescent="0.3">
      <c r="A637">
        <v>67</v>
      </c>
      <c r="B637">
        <v>120</v>
      </c>
      <c r="C637">
        <v>229</v>
      </c>
      <c r="D637">
        <v>0</v>
      </c>
      <c r="E637">
        <v>129</v>
      </c>
      <c r="F637">
        <v>2.6</v>
      </c>
      <c r="G637">
        <v>1</v>
      </c>
    </row>
    <row r="638" spans="1:7" x14ac:dyDescent="0.3">
      <c r="A638">
        <v>48</v>
      </c>
      <c r="B638">
        <v>130</v>
      </c>
      <c r="C638">
        <v>245</v>
      </c>
      <c r="D638">
        <v>0</v>
      </c>
      <c r="E638">
        <v>180</v>
      </c>
      <c r="F638">
        <v>0.2</v>
      </c>
      <c r="G638">
        <v>0</v>
      </c>
    </row>
    <row r="639" spans="1:7" x14ac:dyDescent="0.3">
      <c r="A639">
        <v>43</v>
      </c>
      <c r="B639">
        <v>115</v>
      </c>
      <c r="C639">
        <v>303</v>
      </c>
      <c r="D639">
        <v>0</v>
      </c>
      <c r="E639">
        <v>181</v>
      </c>
      <c r="F639">
        <v>1.2</v>
      </c>
      <c r="G639">
        <v>0</v>
      </c>
    </row>
    <row r="640" spans="1:7" x14ac:dyDescent="0.3">
      <c r="A640">
        <v>47</v>
      </c>
      <c r="B640">
        <v>112</v>
      </c>
      <c r="C640">
        <v>204</v>
      </c>
      <c r="D640">
        <v>0</v>
      </c>
      <c r="E640">
        <v>143</v>
      </c>
      <c r="F640">
        <v>0.1</v>
      </c>
      <c r="G640">
        <v>0</v>
      </c>
    </row>
    <row r="641" spans="1:7" x14ac:dyDescent="0.3">
      <c r="A641">
        <v>54</v>
      </c>
      <c r="B641">
        <v>132</v>
      </c>
      <c r="C641">
        <v>288</v>
      </c>
      <c r="D641">
        <v>1</v>
      </c>
      <c r="E641">
        <v>159</v>
      </c>
      <c r="F641">
        <v>0</v>
      </c>
      <c r="G641">
        <v>0</v>
      </c>
    </row>
    <row r="642" spans="1:7" x14ac:dyDescent="0.3">
      <c r="A642">
        <v>48</v>
      </c>
      <c r="B642">
        <v>130</v>
      </c>
      <c r="C642">
        <v>275</v>
      </c>
      <c r="D642">
        <v>0</v>
      </c>
      <c r="E642">
        <v>139</v>
      </c>
      <c r="F642">
        <v>0.2</v>
      </c>
      <c r="G642">
        <v>0</v>
      </c>
    </row>
    <row r="643" spans="1:7" x14ac:dyDescent="0.3">
      <c r="A643">
        <v>46</v>
      </c>
      <c r="B643">
        <v>138</v>
      </c>
      <c r="C643">
        <v>243</v>
      </c>
      <c r="D643">
        <v>0</v>
      </c>
      <c r="E643">
        <v>152</v>
      </c>
      <c r="F643">
        <v>0</v>
      </c>
      <c r="G643">
        <v>0</v>
      </c>
    </row>
    <row r="644" spans="1:7" x14ac:dyDescent="0.3">
      <c r="A644">
        <v>51</v>
      </c>
      <c r="B644">
        <v>120</v>
      </c>
      <c r="C644">
        <v>295</v>
      </c>
      <c r="D644">
        <v>0</v>
      </c>
      <c r="E644">
        <v>157</v>
      </c>
      <c r="F644">
        <v>0.6</v>
      </c>
      <c r="G644">
        <v>0</v>
      </c>
    </row>
    <row r="645" spans="1:7" x14ac:dyDescent="0.3">
      <c r="A645">
        <v>58</v>
      </c>
      <c r="B645">
        <v>112</v>
      </c>
      <c r="C645">
        <v>230</v>
      </c>
      <c r="D645">
        <v>0</v>
      </c>
      <c r="E645">
        <v>165</v>
      </c>
      <c r="F645">
        <v>2.5</v>
      </c>
      <c r="G645">
        <v>1</v>
      </c>
    </row>
    <row r="646" spans="1:7" x14ac:dyDescent="0.3">
      <c r="A646">
        <v>71</v>
      </c>
      <c r="B646">
        <v>110</v>
      </c>
      <c r="C646">
        <v>265</v>
      </c>
      <c r="D646">
        <v>1</v>
      </c>
      <c r="E646">
        <v>130</v>
      </c>
      <c r="F646">
        <v>0</v>
      </c>
      <c r="G646">
        <v>0</v>
      </c>
    </row>
    <row r="647" spans="1:7" x14ac:dyDescent="0.3">
      <c r="A647">
        <v>57</v>
      </c>
      <c r="B647">
        <v>128</v>
      </c>
      <c r="C647">
        <v>229</v>
      </c>
      <c r="D647">
        <v>0</v>
      </c>
      <c r="E647">
        <v>150</v>
      </c>
      <c r="F647">
        <v>0.4</v>
      </c>
      <c r="G647">
        <v>1</v>
      </c>
    </row>
    <row r="648" spans="1:7" x14ac:dyDescent="0.3">
      <c r="A648">
        <v>66</v>
      </c>
      <c r="B648">
        <v>160</v>
      </c>
      <c r="C648">
        <v>228</v>
      </c>
      <c r="D648">
        <v>0</v>
      </c>
      <c r="E648">
        <v>138</v>
      </c>
      <c r="F648">
        <v>2.2999999999999998</v>
      </c>
      <c r="G648">
        <v>0</v>
      </c>
    </row>
    <row r="649" spans="1:7" x14ac:dyDescent="0.3">
      <c r="A649">
        <v>37</v>
      </c>
      <c r="B649">
        <v>120</v>
      </c>
      <c r="C649">
        <v>215</v>
      </c>
      <c r="D649">
        <v>0</v>
      </c>
      <c r="E649">
        <v>170</v>
      </c>
      <c r="F649">
        <v>0</v>
      </c>
      <c r="G649">
        <v>0</v>
      </c>
    </row>
    <row r="650" spans="1:7" x14ac:dyDescent="0.3">
      <c r="A650">
        <v>59</v>
      </c>
      <c r="B650">
        <v>170</v>
      </c>
      <c r="C650">
        <v>326</v>
      </c>
      <c r="D650">
        <v>0</v>
      </c>
      <c r="E650">
        <v>140</v>
      </c>
      <c r="F650">
        <v>3.4</v>
      </c>
      <c r="G650">
        <v>1</v>
      </c>
    </row>
    <row r="651" spans="1:7" x14ac:dyDescent="0.3">
      <c r="A651">
        <v>50</v>
      </c>
      <c r="B651">
        <v>144</v>
      </c>
      <c r="C651">
        <v>200</v>
      </c>
      <c r="D651">
        <v>0</v>
      </c>
      <c r="E651">
        <v>126</v>
      </c>
      <c r="F651">
        <v>0.9</v>
      </c>
      <c r="G651">
        <v>1</v>
      </c>
    </row>
    <row r="652" spans="1:7" x14ac:dyDescent="0.3">
      <c r="A652">
        <v>48</v>
      </c>
      <c r="B652">
        <v>130</v>
      </c>
      <c r="C652">
        <v>256</v>
      </c>
      <c r="D652">
        <v>1</v>
      </c>
      <c r="E652">
        <v>150</v>
      </c>
      <c r="F652">
        <v>0</v>
      </c>
      <c r="G652">
        <v>1</v>
      </c>
    </row>
    <row r="653" spans="1:7" x14ac:dyDescent="0.3">
      <c r="A653">
        <v>61</v>
      </c>
      <c r="B653">
        <v>140</v>
      </c>
      <c r="C653">
        <v>207</v>
      </c>
      <c r="D653">
        <v>0</v>
      </c>
      <c r="E653">
        <v>138</v>
      </c>
      <c r="F653">
        <v>1.9</v>
      </c>
      <c r="G653">
        <v>1</v>
      </c>
    </row>
    <row r="654" spans="1:7" x14ac:dyDescent="0.3">
      <c r="A654">
        <v>59</v>
      </c>
      <c r="B654">
        <v>160</v>
      </c>
      <c r="C654">
        <v>273</v>
      </c>
      <c r="D654">
        <v>0</v>
      </c>
      <c r="E654">
        <v>125</v>
      </c>
      <c r="F654">
        <v>0</v>
      </c>
      <c r="G654">
        <v>1</v>
      </c>
    </row>
    <row r="655" spans="1:7" x14ac:dyDescent="0.3">
      <c r="A655">
        <v>42</v>
      </c>
      <c r="B655">
        <v>130</v>
      </c>
      <c r="C655">
        <v>180</v>
      </c>
      <c r="D655">
        <v>0</v>
      </c>
      <c r="E655">
        <v>150</v>
      </c>
      <c r="F655">
        <v>0</v>
      </c>
      <c r="G655">
        <v>0</v>
      </c>
    </row>
    <row r="656" spans="1:7" x14ac:dyDescent="0.3">
      <c r="A656">
        <v>48</v>
      </c>
      <c r="B656">
        <v>122</v>
      </c>
      <c r="C656">
        <v>222</v>
      </c>
      <c r="D656">
        <v>0</v>
      </c>
      <c r="E656">
        <v>186</v>
      </c>
      <c r="F656">
        <v>0</v>
      </c>
      <c r="G656">
        <v>0</v>
      </c>
    </row>
    <row r="657" spans="1:7" x14ac:dyDescent="0.3">
      <c r="A657">
        <v>40</v>
      </c>
      <c r="B657">
        <v>152</v>
      </c>
      <c r="C657">
        <v>223</v>
      </c>
      <c r="D657">
        <v>0</v>
      </c>
      <c r="E657">
        <v>181</v>
      </c>
      <c r="F657">
        <v>0</v>
      </c>
      <c r="G657">
        <v>1</v>
      </c>
    </row>
    <row r="658" spans="1:7" x14ac:dyDescent="0.3">
      <c r="A658">
        <v>62</v>
      </c>
      <c r="B658">
        <v>124</v>
      </c>
      <c r="C658">
        <v>209</v>
      </c>
      <c r="D658">
        <v>0</v>
      </c>
      <c r="E658">
        <v>163</v>
      </c>
      <c r="F658">
        <v>0</v>
      </c>
      <c r="G658">
        <v>0</v>
      </c>
    </row>
    <row r="659" spans="1:7" x14ac:dyDescent="0.3">
      <c r="A659">
        <v>44</v>
      </c>
      <c r="B659">
        <v>130</v>
      </c>
      <c r="C659">
        <v>233</v>
      </c>
      <c r="D659">
        <v>0</v>
      </c>
      <c r="E659">
        <v>179</v>
      </c>
      <c r="F659">
        <v>0.4</v>
      </c>
      <c r="G659">
        <v>0</v>
      </c>
    </row>
    <row r="660" spans="1:7" x14ac:dyDescent="0.3">
      <c r="A660">
        <v>46</v>
      </c>
      <c r="B660">
        <v>101</v>
      </c>
      <c r="C660">
        <v>197</v>
      </c>
      <c r="D660">
        <v>1</v>
      </c>
      <c r="E660">
        <v>156</v>
      </c>
      <c r="F660">
        <v>0</v>
      </c>
      <c r="G660">
        <v>0</v>
      </c>
    </row>
    <row r="661" spans="1:7" x14ac:dyDescent="0.3">
      <c r="A661">
        <v>59</v>
      </c>
      <c r="B661">
        <v>126</v>
      </c>
      <c r="C661">
        <v>218</v>
      </c>
      <c r="D661">
        <v>1</v>
      </c>
      <c r="E661">
        <v>134</v>
      </c>
      <c r="F661">
        <v>2.2000000000000002</v>
      </c>
      <c r="G661">
        <v>1</v>
      </c>
    </row>
    <row r="662" spans="1:7" x14ac:dyDescent="0.3">
      <c r="A662">
        <v>58</v>
      </c>
      <c r="B662">
        <v>140</v>
      </c>
      <c r="C662">
        <v>211</v>
      </c>
      <c r="D662">
        <v>1</v>
      </c>
      <c r="E662">
        <v>165</v>
      </c>
      <c r="F662">
        <v>0</v>
      </c>
      <c r="G662">
        <v>0</v>
      </c>
    </row>
    <row r="663" spans="1:7" x14ac:dyDescent="0.3">
      <c r="A663">
        <v>49</v>
      </c>
      <c r="B663">
        <v>118</v>
      </c>
      <c r="C663">
        <v>149</v>
      </c>
      <c r="D663">
        <v>0</v>
      </c>
      <c r="E663">
        <v>126</v>
      </c>
      <c r="F663">
        <v>0.8</v>
      </c>
      <c r="G663">
        <v>1</v>
      </c>
    </row>
    <row r="664" spans="1:7" x14ac:dyDescent="0.3">
      <c r="A664">
        <v>44</v>
      </c>
      <c r="B664">
        <v>110</v>
      </c>
      <c r="C664">
        <v>197</v>
      </c>
      <c r="D664">
        <v>0</v>
      </c>
      <c r="E664">
        <v>177</v>
      </c>
      <c r="F664">
        <v>0</v>
      </c>
      <c r="G664">
        <v>1</v>
      </c>
    </row>
    <row r="665" spans="1:7" x14ac:dyDescent="0.3">
      <c r="A665">
        <v>66</v>
      </c>
      <c r="B665">
        <v>160</v>
      </c>
      <c r="C665">
        <v>246</v>
      </c>
      <c r="D665">
        <v>0</v>
      </c>
      <c r="E665">
        <v>120</v>
      </c>
      <c r="F665">
        <v>0</v>
      </c>
      <c r="G665">
        <v>1</v>
      </c>
    </row>
    <row r="666" spans="1:7" x14ac:dyDescent="0.3">
      <c r="A666">
        <v>65</v>
      </c>
      <c r="B666">
        <v>150</v>
      </c>
      <c r="C666">
        <v>225</v>
      </c>
      <c r="D666">
        <v>0</v>
      </c>
      <c r="E666">
        <v>114</v>
      </c>
      <c r="F666">
        <v>1</v>
      </c>
      <c r="G666">
        <v>1</v>
      </c>
    </row>
    <row r="667" spans="1:7" x14ac:dyDescent="0.3">
      <c r="A667">
        <v>42</v>
      </c>
      <c r="B667">
        <v>136</v>
      </c>
      <c r="C667">
        <v>315</v>
      </c>
      <c r="D667">
        <v>0</v>
      </c>
      <c r="E667">
        <v>125</v>
      </c>
      <c r="F667">
        <v>1.8</v>
      </c>
      <c r="G667">
        <v>1</v>
      </c>
    </row>
    <row r="668" spans="1:7" x14ac:dyDescent="0.3">
      <c r="A668">
        <v>52</v>
      </c>
      <c r="B668">
        <v>128</v>
      </c>
      <c r="C668">
        <v>205</v>
      </c>
      <c r="D668">
        <v>1</v>
      </c>
      <c r="E668">
        <v>184</v>
      </c>
      <c r="F668">
        <v>0</v>
      </c>
      <c r="G668">
        <v>0</v>
      </c>
    </row>
    <row r="669" spans="1:7" x14ac:dyDescent="0.3">
      <c r="A669">
        <v>65</v>
      </c>
      <c r="B669">
        <v>140</v>
      </c>
      <c r="C669">
        <v>417</v>
      </c>
      <c r="D669">
        <v>1</v>
      </c>
      <c r="E669">
        <v>157</v>
      </c>
      <c r="F669">
        <v>0.8</v>
      </c>
      <c r="G669">
        <v>0</v>
      </c>
    </row>
    <row r="670" spans="1:7" x14ac:dyDescent="0.3">
      <c r="A670">
        <v>63</v>
      </c>
      <c r="B670">
        <v>140</v>
      </c>
      <c r="C670">
        <v>195</v>
      </c>
      <c r="D670">
        <v>0</v>
      </c>
      <c r="E670">
        <v>179</v>
      </c>
      <c r="F670">
        <v>0</v>
      </c>
      <c r="G670">
        <v>0</v>
      </c>
    </row>
    <row r="671" spans="1:7" x14ac:dyDescent="0.3">
      <c r="A671">
        <v>45</v>
      </c>
      <c r="B671">
        <v>130</v>
      </c>
      <c r="C671">
        <v>234</v>
      </c>
      <c r="D671">
        <v>0</v>
      </c>
      <c r="E671">
        <v>175</v>
      </c>
      <c r="F671">
        <v>0.6</v>
      </c>
      <c r="G671">
        <v>0</v>
      </c>
    </row>
    <row r="672" spans="1:7" x14ac:dyDescent="0.3">
      <c r="A672">
        <v>41</v>
      </c>
      <c r="B672">
        <v>105</v>
      </c>
      <c r="C672">
        <v>198</v>
      </c>
      <c r="D672">
        <v>0</v>
      </c>
      <c r="E672">
        <v>168</v>
      </c>
      <c r="F672">
        <v>0</v>
      </c>
      <c r="G672">
        <v>0</v>
      </c>
    </row>
    <row r="673" spans="1:7" x14ac:dyDescent="0.3">
      <c r="A673">
        <v>61</v>
      </c>
      <c r="B673">
        <v>138</v>
      </c>
      <c r="C673">
        <v>166</v>
      </c>
      <c r="D673">
        <v>0</v>
      </c>
      <c r="E673">
        <v>125</v>
      </c>
      <c r="F673">
        <v>3.6</v>
      </c>
      <c r="G673">
        <v>1</v>
      </c>
    </row>
    <row r="674" spans="1:7" x14ac:dyDescent="0.3">
      <c r="A674">
        <v>60</v>
      </c>
      <c r="B674">
        <v>120</v>
      </c>
      <c r="C674">
        <v>178</v>
      </c>
      <c r="D674">
        <v>1</v>
      </c>
      <c r="E674">
        <v>96</v>
      </c>
      <c r="F674">
        <v>0</v>
      </c>
      <c r="G674">
        <v>0</v>
      </c>
    </row>
    <row r="675" spans="1:7" x14ac:dyDescent="0.3">
      <c r="A675">
        <v>59</v>
      </c>
      <c r="B675">
        <v>174</v>
      </c>
      <c r="C675">
        <v>249</v>
      </c>
      <c r="D675">
        <v>0</v>
      </c>
      <c r="E675">
        <v>143</v>
      </c>
      <c r="F675">
        <v>0</v>
      </c>
      <c r="G675">
        <v>1</v>
      </c>
    </row>
    <row r="676" spans="1:7" x14ac:dyDescent="0.3">
      <c r="A676">
        <v>62</v>
      </c>
      <c r="B676">
        <v>120</v>
      </c>
      <c r="C676">
        <v>281</v>
      </c>
      <c r="D676">
        <v>0</v>
      </c>
      <c r="E676">
        <v>103</v>
      </c>
      <c r="F676">
        <v>1.4</v>
      </c>
      <c r="G676">
        <v>1</v>
      </c>
    </row>
    <row r="677" spans="1:7" x14ac:dyDescent="0.3">
      <c r="A677">
        <v>57</v>
      </c>
      <c r="B677">
        <v>150</v>
      </c>
      <c r="C677">
        <v>126</v>
      </c>
      <c r="D677">
        <v>1</v>
      </c>
      <c r="E677">
        <v>173</v>
      </c>
      <c r="F677">
        <v>0.2</v>
      </c>
      <c r="G677">
        <v>0</v>
      </c>
    </row>
    <row r="678" spans="1:7" x14ac:dyDescent="0.3">
      <c r="A678">
        <v>51</v>
      </c>
      <c r="B678">
        <v>130</v>
      </c>
      <c r="C678">
        <v>305</v>
      </c>
      <c r="D678">
        <v>0</v>
      </c>
      <c r="E678">
        <v>142</v>
      </c>
      <c r="F678">
        <v>1.2</v>
      </c>
      <c r="G678">
        <v>1</v>
      </c>
    </row>
    <row r="679" spans="1:7" x14ac:dyDescent="0.3">
      <c r="A679">
        <v>44</v>
      </c>
      <c r="B679">
        <v>120</v>
      </c>
      <c r="C679">
        <v>226</v>
      </c>
      <c r="D679">
        <v>0</v>
      </c>
      <c r="E679">
        <v>169</v>
      </c>
      <c r="F679">
        <v>0</v>
      </c>
      <c r="G679">
        <v>0</v>
      </c>
    </row>
    <row r="680" spans="1:7" x14ac:dyDescent="0.3">
      <c r="A680">
        <v>60</v>
      </c>
      <c r="B680">
        <v>150</v>
      </c>
      <c r="C680">
        <v>240</v>
      </c>
      <c r="D680">
        <v>0</v>
      </c>
      <c r="E680">
        <v>171</v>
      </c>
      <c r="F680">
        <v>0.9</v>
      </c>
      <c r="G680">
        <v>0</v>
      </c>
    </row>
    <row r="681" spans="1:7" x14ac:dyDescent="0.3">
      <c r="A681">
        <v>63</v>
      </c>
      <c r="B681">
        <v>145</v>
      </c>
      <c r="C681">
        <v>233</v>
      </c>
      <c r="D681">
        <v>1</v>
      </c>
      <c r="E681">
        <v>150</v>
      </c>
      <c r="F681">
        <v>2.2999999999999998</v>
      </c>
      <c r="G681">
        <v>0</v>
      </c>
    </row>
    <row r="682" spans="1:7" x14ac:dyDescent="0.3">
      <c r="A682">
        <v>57</v>
      </c>
      <c r="B682">
        <v>150</v>
      </c>
      <c r="C682">
        <v>276</v>
      </c>
      <c r="D682">
        <v>0</v>
      </c>
      <c r="E682">
        <v>112</v>
      </c>
      <c r="F682">
        <v>0.6</v>
      </c>
      <c r="G682">
        <v>1</v>
      </c>
    </row>
    <row r="683" spans="1:7" x14ac:dyDescent="0.3">
      <c r="A683">
        <v>51</v>
      </c>
      <c r="B683">
        <v>140</v>
      </c>
      <c r="C683">
        <v>261</v>
      </c>
      <c r="D683">
        <v>0</v>
      </c>
      <c r="E683">
        <v>186</v>
      </c>
      <c r="F683">
        <v>0</v>
      </c>
      <c r="G683">
        <v>0</v>
      </c>
    </row>
    <row r="684" spans="1:7" x14ac:dyDescent="0.3">
      <c r="A684">
        <v>58</v>
      </c>
      <c r="B684">
        <v>136</v>
      </c>
      <c r="C684">
        <v>319</v>
      </c>
      <c r="D684">
        <v>1</v>
      </c>
      <c r="E684">
        <v>152</v>
      </c>
      <c r="F684">
        <v>0</v>
      </c>
      <c r="G684">
        <v>1</v>
      </c>
    </row>
    <row r="685" spans="1:7" x14ac:dyDescent="0.3">
      <c r="A685">
        <v>44</v>
      </c>
      <c r="B685">
        <v>118</v>
      </c>
      <c r="C685">
        <v>242</v>
      </c>
      <c r="D685">
        <v>0</v>
      </c>
      <c r="E685">
        <v>149</v>
      </c>
      <c r="F685">
        <v>0.3</v>
      </c>
      <c r="G685">
        <v>0</v>
      </c>
    </row>
    <row r="686" spans="1:7" x14ac:dyDescent="0.3">
      <c r="A686">
        <v>47</v>
      </c>
      <c r="B686">
        <v>108</v>
      </c>
      <c r="C686">
        <v>243</v>
      </c>
      <c r="D686">
        <v>0</v>
      </c>
      <c r="E686">
        <v>152</v>
      </c>
      <c r="F686">
        <v>0</v>
      </c>
      <c r="G686">
        <v>1</v>
      </c>
    </row>
    <row r="687" spans="1:7" x14ac:dyDescent="0.3">
      <c r="A687">
        <v>61</v>
      </c>
      <c r="B687">
        <v>120</v>
      </c>
      <c r="C687">
        <v>260</v>
      </c>
      <c r="D687">
        <v>0</v>
      </c>
      <c r="E687">
        <v>140</v>
      </c>
      <c r="F687">
        <v>3.6</v>
      </c>
      <c r="G687">
        <v>1</v>
      </c>
    </row>
    <row r="688" spans="1:7" x14ac:dyDescent="0.3">
      <c r="A688">
        <v>57</v>
      </c>
      <c r="B688">
        <v>120</v>
      </c>
      <c r="C688">
        <v>354</v>
      </c>
      <c r="D688">
        <v>0</v>
      </c>
      <c r="E688">
        <v>163</v>
      </c>
      <c r="F688">
        <v>0.6</v>
      </c>
      <c r="G688">
        <v>0</v>
      </c>
    </row>
    <row r="689" spans="1:7" x14ac:dyDescent="0.3">
      <c r="A689">
        <v>70</v>
      </c>
      <c r="B689">
        <v>156</v>
      </c>
      <c r="C689">
        <v>245</v>
      </c>
      <c r="D689">
        <v>0</v>
      </c>
      <c r="E689">
        <v>143</v>
      </c>
      <c r="F689">
        <v>0</v>
      </c>
      <c r="G689">
        <v>0</v>
      </c>
    </row>
    <row r="690" spans="1:7" x14ac:dyDescent="0.3">
      <c r="A690">
        <v>76</v>
      </c>
      <c r="B690">
        <v>140</v>
      </c>
      <c r="C690">
        <v>197</v>
      </c>
      <c r="D690">
        <v>0</v>
      </c>
      <c r="E690">
        <v>116</v>
      </c>
      <c r="F690">
        <v>1.1000000000000001</v>
      </c>
      <c r="G690">
        <v>0</v>
      </c>
    </row>
    <row r="691" spans="1:7" x14ac:dyDescent="0.3">
      <c r="A691">
        <v>67</v>
      </c>
      <c r="B691">
        <v>106</v>
      </c>
      <c r="C691">
        <v>223</v>
      </c>
      <c r="D691">
        <v>0</v>
      </c>
      <c r="E691">
        <v>142</v>
      </c>
      <c r="F691">
        <v>0.3</v>
      </c>
      <c r="G691">
        <v>0</v>
      </c>
    </row>
    <row r="692" spans="1:7" x14ac:dyDescent="0.3">
      <c r="A692">
        <v>45</v>
      </c>
      <c r="B692">
        <v>142</v>
      </c>
      <c r="C692">
        <v>309</v>
      </c>
      <c r="D692">
        <v>0</v>
      </c>
      <c r="E692">
        <v>147</v>
      </c>
      <c r="F692">
        <v>0</v>
      </c>
      <c r="G692">
        <v>1</v>
      </c>
    </row>
    <row r="693" spans="1:7" x14ac:dyDescent="0.3">
      <c r="A693">
        <v>45</v>
      </c>
      <c r="B693">
        <v>104</v>
      </c>
      <c r="C693">
        <v>208</v>
      </c>
      <c r="D693">
        <v>0</v>
      </c>
      <c r="E693">
        <v>148</v>
      </c>
      <c r="F693">
        <v>3</v>
      </c>
      <c r="G693">
        <v>0</v>
      </c>
    </row>
    <row r="694" spans="1:7" x14ac:dyDescent="0.3">
      <c r="A694">
        <v>39</v>
      </c>
      <c r="B694">
        <v>94</v>
      </c>
      <c r="C694">
        <v>199</v>
      </c>
      <c r="D694">
        <v>0</v>
      </c>
      <c r="E694">
        <v>179</v>
      </c>
      <c r="F694">
        <v>0</v>
      </c>
      <c r="G694">
        <v>0</v>
      </c>
    </row>
    <row r="695" spans="1:7" x14ac:dyDescent="0.3">
      <c r="A695">
        <v>42</v>
      </c>
      <c r="B695">
        <v>120</v>
      </c>
      <c r="C695">
        <v>209</v>
      </c>
      <c r="D695">
        <v>0</v>
      </c>
      <c r="E695">
        <v>173</v>
      </c>
      <c r="F695">
        <v>0</v>
      </c>
      <c r="G695">
        <v>0</v>
      </c>
    </row>
    <row r="696" spans="1:7" x14ac:dyDescent="0.3">
      <c r="A696">
        <v>56</v>
      </c>
      <c r="B696">
        <v>120</v>
      </c>
      <c r="C696">
        <v>236</v>
      </c>
      <c r="D696">
        <v>0</v>
      </c>
      <c r="E696">
        <v>178</v>
      </c>
      <c r="F696">
        <v>0.8</v>
      </c>
      <c r="G696">
        <v>0</v>
      </c>
    </row>
    <row r="697" spans="1:7" x14ac:dyDescent="0.3">
      <c r="A697">
        <v>58</v>
      </c>
      <c r="B697">
        <v>146</v>
      </c>
      <c r="C697">
        <v>218</v>
      </c>
      <c r="D697">
        <v>0</v>
      </c>
      <c r="E697">
        <v>105</v>
      </c>
      <c r="F697">
        <v>2</v>
      </c>
      <c r="G697">
        <v>1</v>
      </c>
    </row>
    <row r="698" spans="1:7" x14ac:dyDescent="0.3">
      <c r="A698">
        <v>35</v>
      </c>
      <c r="B698">
        <v>120</v>
      </c>
      <c r="C698">
        <v>198</v>
      </c>
      <c r="D698">
        <v>0</v>
      </c>
      <c r="E698">
        <v>130</v>
      </c>
      <c r="F698">
        <v>1.6</v>
      </c>
      <c r="G698">
        <v>1</v>
      </c>
    </row>
    <row r="699" spans="1:7" x14ac:dyDescent="0.3">
      <c r="A699">
        <v>58</v>
      </c>
      <c r="B699">
        <v>150</v>
      </c>
      <c r="C699">
        <v>270</v>
      </c>
      <c r="D699">
        <v>0</v>
      </c>
      <c r="E699">
        <v>111</v>
      </c>
      <c r="F699">
        <v>0.8</v>
      </c>
      <c r="G699">
        <v>1</v>
      </c>
    </row>
    <row r="700" spans="1:7" x14ac:dyDescent="0.3">
      <c r="A700">
        <v>41</v>
      </c>
      <c r="B700">
        <v>130</v>
      </c>
      <c r="C700">
        <v>214</v>
      </c>
      <c r="D700">
        <v>0</v>
      </c>
      <c r="E700">
        <v>168</v>
      </c>
      <c r="F700">
        <v>2</v>
      </c>
      <c r="G700">
        <v>0</v>
      </c>
    </row>
    <row r="701" spans="1:7" x14ac:dyDescent="0.3">
      <c r="A701">
        <v>57</v>
      </c>
      <c r="B701">
        <v>110</v>
      </c>
      <c r="C701">
        <v>201</v>
      </c>
      <c r="D701">
        <v>0</v>
      </c>
      <c r="E701">
        <v>126</v>
      </c>
      <c r="F701">
        <v>1.5</v>
      </c>
      <c r="G701">
        <v>0</v>
      </c>
    </row>
    <row r="702" spans="1:7" x14ac:dyDescent="0.3">
      <c r="A702">
        <v>42</v>
      </c>
      <c r="B702">
        <v>148</v>
      </c>
      <c r="C702">
        <v>244</v>
      </c>
      <c r="D702">
        <v>0</v>
      </c>
      <c r="E702">
        <v>178</v>
      </c>
      <c r="F702">
        <v>0.8</v>
      </c>
      <c r="G702">
        <v>0</v>
      </c>
    </row>
    <row r="703" spans="1:7" x14ac:dyDescent="0.3">
      <c r="A703">
        <v>62</v>
      </c>
      <c r="B703">
        <v>128</v>
      </c>
      <c r="C703">
        <v>208</v>
      </c>
      <c r="D703">
        <v>1</v>
      </c>
      <c r="E703">
        <v>140</v>
      </c>
      <c r="F703">
        <v>0</v>
      </c>
      <c r="G703">
        <v>0</v>
      </c>
    </row>
    <row r="704" spans="1:7" x14ac:dyDescent="0.3">
      <c r="A704">
        <v>59</v>
      </c>
      <c r="B704">
        <v>178</v>
      </c>
      <c r="C704">
        <v>270</v>
      </c>
      <c r="D704">
        <v>0</v>
      </c>
      <c r="E704">
        <v>145</v>
      </c>
      <c r="F704">
        <v>4.2</v>
      </c>
      <c r="G704">
        <v>0</v>
      </c>
    </row>
    <row r="705" spans="1:7" x14ac:dyDescent="0.3">
      <c r="A705">
        <v>41</v>
      </c>
      <c r="B705">
        <v>126</v>
      </c>
      <c r="C705">
        <v>306</v>
      </c>
      <c r="D705">
        <v>0</v>
      </c>
      <c r="E705">
        <v>163</v>
      </c>
      <c r="F705">
        <v>0</v>
      </c>
      <c r="G705">
        <v>0</v>
      </c>
    </row>
    <row r="706" spans="1:7" x14ac:dyDescent="0.3">
      <c r="A706">
        <v>50</v>
      </c>
      <c r="B706">
        <v>150</v>
      </c>
      <c r="C706">
        <v>243</v>
      </c>
      <c r="D706">
        <v>0</v>
      </c>
      <c r="E706">
        <v>128</v>
      </c>
      <c r="F706">
        <v>2.6</v>
      </c>
      <c r="G706">
        <v>1</v>
      </c>
    </row>
    <row r="707" spans="1:7" x14ac:dyDescent="0.3">
      <c r="A707">
        <v>59</v>
      </c>
      <c r="B707">
        <v>140</v>
      </c>
      <c r="C707">
        <v>221</v>
      </c>
      <c r="D707">
        <v>0</v>
      </c>
      <c r="E707">
        <v>164</v>
      </c>
      <c r="F707">
        <v>0</v>
      </c>
      <c r="G707">
        <v>0</v>
      </c>
    </row>
    <row r="708" spans="1:7" x14ac:dyDescent="0.3">
      <c r="A708">
        <v>61</v>
      </c>
      <c r="B708">
        <v>130</v>
      </c>
      <c r="C708">
        <v>330</v>
      </c>
      <c r="D708">
        <v>0</v>
      </c>
      <c r="E708">
        <v>169</v>
      </c>
      <c r="F708">
        <v>0</v>
      </c>
      <c r="G708">
        <v>1</v>
      </c>
    </row>
    <row r="709" spans="1:7" x14ac:dyDescent="0.3">
      <c r="A709">
        <v>54</v>
      </c>
      <c r="B709">
        <v>124</v>
      </c>
      <c r="C709">
        <v>266</v>
      </c>
      <c r="D709">
        <v>0</v>
      </c>
      <c r="E709">
        <v>109</v>
      </c>
      <c r="F709">
        <v>2.2000000000000002</v>
      </c>
      <c r="G709">
        <v>1</v>
      </c>
    </row>
    <row r="710" spans="1:7" x14ac:dyDescent="0.3">
      <c r="A710">
        <v>54</v>
      </c>
      <c r="B710">
        <v>110</v>
      </c>
      <c r="C710">
        <v>206</v>
      </c>
      <c r="D710">
        <v>0</v>
      </c>
      <c r="E710">
        <v>108</v>
      </c>
      <c r="F710">
        <v>0</v>
      </c>
      <c r="G710">
        <v>1</v>
      </c>
    </row>
    <row r="711" spans="1:7" x14ac:dyDescent="0.3">
      <c r="A711">
        <v>52</v>
      </c>
      <c r="B711">
        <v>125</v>
      </c>
      <c r="C711">
        <v>212</v>
      </c>
      <c r="D711">
        <v>0</v>
      </c>
      <c r="E711">
        <v>168</v>
      </c>
      <c r="F711">
        <v>1</v>
      </c>
      <c r="G711">
        <v>1</v>
      </c>
    </row>
    <row r="712" spans="1:7" x14ac:dyDescent="0.3">
      <c r="A712">
        <v>47</v>
      </c>
      <c r="B712">
        <v>110</v>
      </c>
      <c r="C712">
        <v>275</v>
      </c>
      <c r="D712">
        <v>0</v>
      </c>
      <c r="E712">
        <v>118</v>
      </c>
      <c r="F712">
        <v>1</v>
      </c>
      <c r="G712">
        <v>1</v>
      </c>
    </row>
    <row r="713" spans="1:7" x14ac:dyDescent="0.3">
      <c r="A713">
        <v>66</v>
      </c>
      <c r="B713">
        <v>120</v>
      </c>
      <c r="C713">
        <v>302</v>
      </c>
      <c r="D713">
        <v>0</v>
      </c>
      <c r="E713">
        <v>151</v>
      </c>
      <c r="F713">
        <v>0.4</v>
      </c>
      <c r="G713">
        <v>0</v>
      </c>
    </row>
    <row r="714" spans="1:7" x14ac:dyDescent="0.3">
      <c r="A714">
        <v>58</v>
      </c>
      <c r="B714">
        <v>100</v>
      </c>
      <c r="C714">
        <v>234</v>
      </c>
      <c r="D714">
        <v>0</v>
      </c>
      <c r="E714">
        <v>156</v>
      </c>
      <c r="F714">
        <v>0.1</v>
      </c>
      <c r="G714">
        <v>1</v>
      </c>
    </row>
    <row r="715" spans="1:7" x14ac:dyDescent="0.3">
      <c r="A715">
        <v>64</v>
      </c>
      <c r="B715">
        <v>140</v>
      </c>
      <c r="C715">
        <v>313</v>
      </c>
      <c r="D715">
        <v>0</v>
      </c>
      <c r="E715">
        <v>133</v>
      </c>
      <c r="F715">
        <v>0.2</v>
      </c>
      <c r="G715">
        <v>0</v>
      </c>
    </row>
    <row r="716" spans="1:7" x14ac:dyDescent="0.3">
      <c r="A716">
        <v>50</v>
      </c>
      <c r="B716">
        <v>120</v>
      </c>
      <c r="C716">
        <v>244</v>
      </c>
      <c r="D716">
        <v>0</v>
      </c>
      <c r="E716">
        <v>162</v>
      </c>
      <c r="F716">
        <v>1.1000000000000001</v>
      </c>
      <c r="G716">
        <v>0</v>
      </c>
    </row>
    <row r="717" spans="1:7" x14ac:dyDescent="0.3">
      <c r="A717">
        <v>44</v>
      </c>
      <c r="B717">
        <v>108</v>
      </c>
      <c r="C717">
        <v>141</v>
      </c>
      <c r="D717">
        <v>0</v>
      </c>
      <c r="E717">
        <v>175</v>
      </c>
      <c r="F717">
        <v>0.6</v>
      </c>
      <c r="G717">
        <v>0</v>
      </c>
    </row>
    <row r="718" spans="1:7" x14ac:dyDescent="0.3">
      <c r="A718">
        <v>67</v>
      </c>
      <c r="B718">
        <v>120</v>
      </c>
      <c r="C718">
        <v>237</v>
      </c>
      <c r="D718">
        <v>0</v>
      </c>
      <c r="E718">
        <v>71</v>
      </c>
      <c r="F718">
        <v>1</v>
      </c>
      <c r="G718">
        <v>1</v>
      </c>
    </row>
    <row r="719" spans="1:7" x14ac:dyDescent="0.3">
      <c r="A719">
        <v>49</v>
      </c>
      <c r="B719">
        <v>130</v>
      </c>
      <c r="C719">
        <v>269</v>
      </c>
      <c r="D719">
        <v>0</v>
      </c>
      <c r="E719">
        <v>163</v>
      </c>
      <c r="F719">
        <v>0</v>
      </c>
      <c r="G719">
        <v>0</v>
      </c>
    </row>
    <row r="720" spans="1:7" x14ac:dyDescent="0.3">
      <c r="A720">
        <v>57</v>
      </c>
      <c r="B720">
        <v>165</v>
      </c>
      <c r="C720">
        <v>289</v>
      </c>
      <c r="D720">
        <v>1</v>
      </c>
      <c r="E720">
        <v>124</v>
      </c>
      <c r="F720">
        <v>1</v>
      </c>
      <c r="G720">
        <v>1</v>
      </c>
    </row>
    <row r="721" spans="1:7" x14ac:dyDescent="0.3">
      <c r="A721">
        <v>63</v>
      </c>
      <c r="B721">
        <v>130</v>
      </c>
      <c r="C721">
        <v>254</v>
      </c>
      <c r="D721">
        <v>0</v>
      </c>
      <c r="E721">
        <v>147</v>
      </c>
      <c r="F721">
        <v>1.4</v>
      </c>
      <c r="G721">
        <v>1</v>
      </c>
    </row>
    <row r="722" spans="1:7" x14ac:dyDescent="0.3">
      <c r="A722">
        <v>48</v>
      </c>
      <c r="B722">
        <v>124</v>
      </c>
      <c r="C722">
        <v>274</v>
      </c>
      <c r="D722">
        <v>0</v>
      </c>
      <c r="E722">
        <v>166</v>
      </c>
      <c r="F722">
        <v>0.5</v>
      </c>
      <c r="G722">
        <v>1</v>
      </c>
    </row>
    <row r="723" spans="1:7" x14ac:dyDescent="0.3">
      <c r="A723">
        <v>51</v>
      </c>
      <c r="B723">
        <v>100</v>
      </c>
      <c r="C723">
        <v>222</v>
      </c>
      <c r="D723">
        <v>0</v>
      </c>
      <c r="E723">
        <v>143</v>
      </c>
      <c r="F723">
        <v>1.2</v>
      </c>
      <c r="G723">
        <v>0</v>
      </c>
    </row>
    <row r="724" spans="1:7" x14ac:dyDescent="0.3">
      <c r="A724">
        <v>60</v>
      </c>
      <c r="B724">
        <v>150</v>
      </c>
      <c r="C724">
        <v>258</v>
      </c>
      <c r="D724">
        <v>0</v>
      </c>
      <c r="E724">
        <v>157</v>
      </c>
      <c r="F724">
        <v>2.6</v>
      </c>
      <c r="G724">
        <v>1</v>
      </c>
    </row>
    <row r="725" spans="1:7" x14ac:dyDescent="0.3">
      <c r="A725">
        <v>59</v>
      </c>
      <c r="B725">
        <v>140</v>
      </c>
      <c r="C725">
        <v>177</v>
      </c>
      <c r="D725">
        <v>0</v>
      </c>
      <c r="E725">
        <v>162</v>
      </c>
      <c r="F725">
        <v>0</v>
      </c>
      <c r="G725">
        <v>1</v>
      </c>
    </row>
    <row r="726" spans="1:7" x14ac:dyDescent="0.3">
      <c r="A726">
        <v>45</v>
      </c>
      <c r="B726">
        <v>112</v>
      </c>
      <c r="C726">
        <v>160</v>
      </c>
      <c r="D726">
        <v>0</v>
      </c>
      <c r="E726">
        <v>138</v>
      </c>
      <c r="F726">
        <v>0</v>
      </c>
      <c r="G726">
        <v>0</v>
      </c>
    </row>
    <row r="727" spans="1:7" x14ac:dyDescent="0.3">
      <c r="A727">
        <v>55</v>
      </c>
      <c r="B727">
        <v>180</v>
      </c>
      <c r="C727">
        <v>327</v>
      </c>
      <c r="D727">
        <v>0</v>
      </c>
      <c r="E727">
        <v>117</v>
      </c>
      <c r="F727">
        <v>3.4</v>
      </c>
      <c r="G727">
        <v>1</v>
      </c>
    </row>
    <row r="728" spans="1:7" x14ac:dyDescent="0.3">
      <c r="A728">
        <v>41</v>
      </c>
      <c r="B728">
        <v>110</v>
      </c>
      <c r="C728">
        <v>235</v>
      </c>
      <c r="D728">
        <v>0</v>
      </c>
      <c r="E728">
        <v>153</v>
      </c>
      <c r="F728">
        <v>0</v>
      </c>
      <c r="G728">
        <v>0</v>
      </c>
    </row>
    <row r="729" spans="1:7" x14ac:dyDescent="0.3">
      <c r="A729">
        <v>60</v>
      </c>
      <c r="B729">
        <v>158</v>
      </c>
      <c r="C729">
        <v>305</v>
      </c>
      <c r="D729">
        <v>0</v>
      </c>
      <c r="E729">
        <v>161</v>
      </c>
      <c r="F729">
        <v>0</v>
      </c>
      <c r="G729">
        <v>1</v>
      </c>
    </row>
    <row r="730" spans="1:7" x14ac:dyDescent="0.3">
      <c r="A730">
        <v>54</v>
      </c>
      <c r="B730">
        <v>135</v>
      </c>
      <c r="C730">
        <v>304</v>
      </c>
      <c r="D730">
        <v>1</v>
      </c>
      <c r="E730">
        <v>170</v>
      </c>
      <c r="F730">
        <v>0</v>
      </c>
      <c r="G730">
        <v>0</v>
      </c>
    </row>
    <row r="731" spans="1:7" x14ac:dyDescent="0.3">
      <c r="A731">
        <v>42</v>
      </c>
      <c r="B731">
        <v>120</v>
      </c>
      <c r="C731">
        <v>295</v>
      </c>
      <c r="D731">
        <v>0</v>
      </c>
      <c r="E731">
        <v>162</v>
      </c>
      <c r="F731">
        <v>0</v>
      </c>
      <c r="G731">
        <v>0</v>
      </c>
    </row>
    <row r="732" spans="1:7" x14ac:dyDescent="0.3">
      <c r="A732">
        <v>49</v>
      </c>
      <c r="B732">
        <v>134</v>
      </c>
      <c r="C732">
        <v>271</v>
      </c>
      <c r="D732">
        <v>0</v>
      </c>
      <c r="E732">
        <v>162</v>
      </c>
      <c r="F732">
        <v>0</v>
      </c>
      <c r="G732">
        <v>0</v>
      </c>
    </row>
    <row r="733" spans="1:7" x14ac:dyDescent="0.3">
      <c r="A733">
        <v>46</v>
      </c>
      <c r="B733">
        <v>120</v>
      </c>
      <c r="C733">
        <v>249</v>
      </c>
      <c r="D733">
        <v>0</v>
      </c>
      <c r="E733">
        <v>144</v>
      </c>
      <c r="F733">
        <v>0.8</v>
      </c>
      <c r="G733">
        <v>1</v>
      </c>
    </row>
    <row r="734" spans="1:7" x14ac:dyDescent="0.3">
      <c r="A734">
        <v>56</v>
      </c>
      <c r="B734">
        <v>200</v>
      </c>
      <c r="C734">
        <v>288</v>
      </c>
      <c r="D734">
        <v>1</v>
      </c>
      <c r="E734">
        <v>133</v>
      </c>
      <c r="F734">
        <v>4</v>
      </c>
      <c r="G734">
        <v>1</v>
      </c>
    </row>
    <row r="735" spans="1:7" x14ac:dyDescent="0.3">
      <c r="A735">
        <v>66</v>
      </c>
      <c r="B735">
        <v>150</v>
      </c>
      <c r="C735">
        <v>226</v>
      </c>
      <c r="D735">
        <v>0</v>
      </c>
      <c r="E735">
        <v>114</v>
      </c>
      <c r="F735">
        <v>2.6</v>
      </c>
      <c r="G735">
        <v>0</v>
      </c>
    </row>
    <row r="736" spans="1:7" x14ac:dyDescent="0.3">
      <c r="A736">
        <v>56</v>
      </c>
      <c r="B736">
        <v>130</v>
      </c>
      <c r="C736">
        <v>283</v>
      </c>
      <c r="D736">
        <v>1</v>
      </c>
      <c r="E736">
        <v>103</v>
      </c>
      <c r="F736">
        <v>1.6</v>
      </c>
      <c r="G736">
        <v>1</v>
      </c>
    </row>
    <row r="737" spans="1:7" x14ac:dyDescent="0.3">
      <c r="A737">
        <v>49</v>
      </c>
      <c r="B737">
        <v>120</v>
      </c>
      <c r="C737">
        <v>188</v>
      </c>
      <c r="D737">
        <v>0</v>
      </c>
      <c r="E737">
        <v>139</v>
      </c>
      <c r="F737">
        <v>2</v>
      </c>
      <c r="G737">
        <v>1</v>
      </c>
    </row>
    <row r="738" spans="1:7" x14ac:dyDescent="0.3">
      <c r="A738">
        <v>54</v>
      </c>
      <c r="B738">
        <v>122</v>
      </c>
      <c r="C738">
        <v>286</v>
      </c>
      <c r="D738">
        <v>0</v>
      </c>
      <c r="E738">
        <v>116</v>
      </c>
      <c r="F738">
        <v>3.2</v>
      </c>
      <c r="G738">
        <v>1</v>
      </c>
    </row>
    <row r="739" spans="1:7" x14ac:dyDescent="0.3">
      <c r="A739">
        <v>57</v>
      </c>
      <c r="B739">
        <v>152</v>
      </c>
      <c r="C739">
        <v>274</v>
      </c>
      <c r="D739">
        <v>0</v>
      </c>
      <c r="E739">
        <v>88</v>
      </c>
      <c r="F739">
        <v>1.2</v>
      </c>
      <c r="G739">
        <v>1</v>
      </c>
    </row>
    <row r="740" spans="1:7" x14ac:dyDescent="0.3">
      <c r="A740">
        <v>65</v>
      </c>
      <c r="B740">
        <v>160</v>
      </c>
      <c r="C740">
        <v>360</v>
      </c>
      <c r="D740">
        <v>0</v>
      </c>
      <c r="E740">
        <v>151</v>
      </c>
      <c r="F740">
        <v>0.8</v>
      </c>
      <c r="G740">
        <v>0</v>
      </c>
    </row>
    <row r="741" spans="1:7" x14ac:dyDescent="0.3">
      <c r="A741">
        <v>54</v>
      </c>
      <c r="B741">
        <v>125</v>
      </c>
      <c r="C741">
        <v>273</v>
      </c>
      <c r="D741">
        <v>0</v>
      </c>
      <c r="E741">
        <v>152</v>
      </c>
      <c r="F741">
        <v>0.5</v>
      </c>
      <c r="G741">
        <v>0</v>
      </c>
    </row>
    <row r="742" spans="1:7" x14ac:dyDescent="0.3">
      <c r="A742">
        <v>54</v>
      </c>
      <c r="B742">
        <v>160</v>
      </c>
      <c r="C742">
        <v>201</v>
      </c>
      <c r="D742">
        <v>0</v>
      </c>
      <c r="E742">
        <v>163</v>
      </c>
      <c r="F742">
        <v>0</v>
      </c>
      <c r="G742">
        <v>0</v>
      </c>
    </row>
    <row r="743" spans="1:7" x14ac:dyDescent="0.3">
      <c r="A743">
        <v>62</v>
      </c>
      <c r="B743">
        <v>120</v>
      </c>
      <c r="C743">
        <v>267</v>
      </c>
      <c r="D743">
        <v>0</v>
      </c>
      <c r="E743">
        <v>99</v>
      </c>
      <c r="F743">
        <v>1.8</v>
      </c>
      <c r="G743">
        <v>1</v>
      </c>
    </row>
    <row r="744" spans="1:7" x14ac:dyDescent="0.3">
      <c r="A744">
        <v>52</v>
      </c>
      <c r="B744">
        <v>136</v>
      </c>
      <c r="C744">
        <v>196</v>
      </c>
      <c r="D744">
        <v>0</v>
      </c>
      <c r="E744">
        <v>169</v>
      </c>
      <c r="F744">
        <v>0.1</v>
      </c>
      <c r="G744">
        <v>0</v>
      </c>
    </row>
    <row r="745" spans="1:7" x14ac:dyDescent="0.3">
      <c r="A745">
        <v>52</v>
      </c>
      <c r="B745">
        <v>134</v>
      </c>
      <c r="C745">
        <v>201</v>
      </c>
      <c r="D745">
        <v>0</v>
      </c>
      <c r="E745">
        <v>158</v>
      </c>
      <c r="F745">
        <v>0.8</v>
      </c>
      <c r="G745">
        <v>0</v>
      </c>
    </row>
    <row r="746" spans="1:7" x14ac:dyDescent="0.3">
      <c r="A746">
        <v>60</v>
      </c>
      <c r="B746">
        <v>117</v>
      </c>
      <c r="C746">
        <v>230</v>
      </c>
      <c r="D746">
        <v>1</v>
      </c>
      <c r="E746">
        <v>160</v>
      </c>
      <c r="F746">
        <v>1.4</v>
      </c>
      <c r="G746">
        <v>1</v>
      </c>
    </row>
    <row r="747" spans="1:7" x14ac:dyDescent="0.3">
      <c r="A747">
        <v>63</v>
      </c>
      <c r="B747">
        <v>108</v>
      </c>
      <c r="C747">
        <v>269</v>
      </c>
      <c r="D747">
        <v>0</v>
      </c>
      <c r="E747">
        <v>169</v>
      </c>
      <c r="F747">
        <v>1.8</v>
      </c>
      <c r="G747">
        <v>1</v>
      </c>
    </row>
    <row r="748" spans="1:7" x14ac:dyDescent="0.3">
      <c r="A748">
        <v>66</v>
      </c>
      <c r="B748">
        <v>112</v>
      </c>
      <c r="C748">
        <v>212</v>
      </c>
      <c r="D748">
        <v>0</v>
      </c>
      <c r="E748">
        <v>132</v>
      </c>
      <c r="F748">
        <v>0.1</v>
      </c>
      <c r="G748">
        <v>1</v>
      </c>
    </row>
    <row r="749" spans="1:7" x14ac:dyDescent="0.3">
      <c r="A749">
        <v>42</v>
      </c>
      <c r="B749">
        <v>140</v>
      </c>
      <c r="C749">
        <v>226</v>
      </c>
      <c r="D749">
        <v>0</v>
      </c>
      <c r="E749">
        <v>178</v>
      </c>
      <c r="F749">
        <v>0</v>
      </c>
      <c r="G749">
        <v>0</v>
      </c>
    </row>
    <row r="750" spans="1:7" x14ac:dyDescent="0.3">
      <c r="A750">
        <v>64</v>
      </c>
      <c r="B750">
        <v>120</v>
      </c>
      <c r="C750">
        <v>246</v>
      </c>
      <c r="D750">
        <v>0</v>
      </c>
      <c r="E750">
        <v>96</v>
      </c>
      <c r="F750">
        <v>2.2000000000000002</v>
      </c>
      <c r="G750">
        <v>1</v>
      </c>
    </row>
    <row r="751" spans="1:7" x14ac:dyDescent="0.3">
      <c r="A751">
        <v>54</v>
      </c>
      <c r="B751">
        <v>150</v>
      </c>
      <c r="C751">
        <v>232</v>
      </c>
      <c r="D751">
        <v>0</v>
      </c>
      <c r="E751">
        <v>165</v>
      </c>
      <c r="F751">
        <v>1.6</v>
      </c>
      <c r="G751">
        <v>0</v>
      </c>
    </row>
    <row r="752" spans="1:7" x14ac:dyDescent="0.3">
      <c r="A752">
        <v>46</v>
      </c>
      <c r="B752">
        <v>142</v>
      </c>
      <c r="C752">
        <v>177</v>
      </c>
      <c r="D752">
        <v>0</v>
      </c>
      <c r="E752">
        <v>160</v>
      </c>
      <c r="F752">
        <v>1.4</v>
      </c>
      <c r="G752">
        <v>0</v>
      </c>
    </row>
    <row r="753" spans="1:7" x14ac:dyDescent="0.3">
      <c r="A753">
        <v>67</v>
      </c>
      <c r="B753">
        <v>152</v>
      </c>
      <c r="C753">
        <v>277</v>
      </c>
      <c r="D753">
        <v>0</v>
      </c>
      <c r="E753">
        <v>172</v>
      </c>
      <c r="F753">
        <v>0</v>
      </c>
      <c r="G753">
        <v>0</v>
      </c>
    </row>
    <row r="754" spans="1:7" x14ac:dyDescent="0.3">
      <c r="A754">
        <v>56</v>
      </c>
      <c r="B754">
        <v>125</v>
      </c>
      <c r="C754">
        <v>249</v>
      </c>
      <c r="D754">
        <v>1</v>
      </c>
      <c r="E754">
        <v>144</v>
      </c>
      <c r="F754">
        <v>1.2</v>
      </c>
      <c r="G754">
        <v>1</v>
      </c>
    </row>
    <row r="755" spans="1:7" x14ac:dyDescent="0.3">
      <c r="A755">
        <v>34</v>
      </c>
      <c r="B755">
        <v>118</v>
      </c>
      <c r="C755">
        <v>210</v>
      </c>
      <c r="D755">
        <v>0</v>
      </c>
      <c r="E755">
        <v>192</v>
      </c>
      <c r="F755">
        <v>0.7</v>
      </c>
      <c r="G755">
        <v>0</v>
      </c>
    </row>
    <row r="756" spans="1:7" x14ac:dyDescent="0.3">
      <c r="A756">
        <v>57</v>
      </c>
      <c r="B756">
        <v>132</v>
      </c>
      <c r="C756">
        <v>207</v>
      </c>
      <c r="D756">
        <v>0</v>
      </c>
      <c r="E756">
        <v>168</v>
      </c>
      <c r="F756">
        <v>0</v>
      </c>
      <c r="G756">
        <v>0</v>
      </c>
    </row>
    <row r="757" spans="1:7" x14ac:dyDescent="0.3">
      <c r="A757">
        <v>64</v>
      </c>
      <c r="B757">
        <v>145</v>
      </c>
      <c r="C757">
        <v>212</v>
      </c>
      <c r="D757">
        <v>0</v>
      </c>
      <c r="E757">
        <v>132</v>
      </c>
      <c r="F757">
        <v>2</v>
      </c>
      <c r="G757">
        <v>1</v>
      </c>
    </row>
    <row r="758" spans="1:7" x14ac:dyDescent="0.3">
      <c r="A758">
        <v>59</v>
      </c>
      <c r="B758">
        <v>138</v>
      </c>
      <c r="C758">
        <v>271</v>
      </c>
      <c r="D758">
        <v>0</v>
      </c>
      <c r="E758">
        <v>182</v>
      </c>
      <c r="F758">
        <v>0</v>
      </c>
      <c r="G758">
        <v>0</v>
      </c>
    </row>
    <row r="759" spans="1:7" x14ac:dyDescent="0.3">
      <c r="A759">
        <v>50</v>
      </c>
      <c r="B759">
        <v>140</v>
      </c>
      <c r="C759">
        <v>233</v>
      </c>
      <c r="D759">
        <v>0</v>
      </c>
      <c r="E759">
        <v>163</v>
      </c>
      <c r="F759">
        <v>0.6</v>
      </c>
      <c r="G759">
        <v>1</v>
      </c>
    </row>
    <row r="760" spans="1:7" x14ac:dyDescent="0.3">
      <c r="A760">
        <v>51</v>
      </c>
      <c r="B760">
        <v>125</v>
      </c>
      <c r="C760">
        <v>213</v>
      </c>
      <c r="D760">
        <v>0</v>
      </c>
      <c r="E760">
        <v>125</v>
      </c>
      <c r="F760">
        <v>1.4</v>
      </c>
      <c r="G760">
        <v>0</v>
      </c>
    </row>
    <row r="761" spans="1:7" x14ac:dyDescent="0.3">
      <c r="A761">
        <v>54</v>
      </c>
      <c r="B761">
        <v>192</v>
      </c>
      <c r="C761">
        <v>283</v>
      </c>
      <c r="D761">
        <v>0</v>
      </c>
      <c r="E761">
        <v>195</v>
      </c>
      <c r="F761">
        <v>0</v>
      </c>
      <c r="G761">
        <v>1</v>
      </c>
    </row>
    <row r="762" spans="1:7" x14ac:dyDescent="0.3">
      <c r="A762">
        <v>53</v>
      </c>
      <c r="B762">
        <v>123</v>
      </c>
      <c r="C762">
        <v>282</v>
      </c>
      <c r="D762">
        <v>0</v>
      </c>
      <c r="E762">
        <v>95</v>
      </c>
      <c r="F762">
        <v>2</v>
      </c>
      <c r="G762">
        <v>1</v>
      </c>
    </row>
    <row r="763" spans="1:7" x14ac:dyDescent="0.3">
      <c r="A763">
        <v>52</v>
      </c>
      <c r="B763">
        <v>112</v>
      </c>
      <c r="C763">
        <v>230</v>
      </c>
      <c r="D763">
        <v>0</v>
      </c>
      <c r="E763">
        <v>160</v>
      </c>
      <c r="F763">
        <v>0</v>
      </c>
      <c r="G763">
        <v>1</v>
      </c>
    </row>
    <row r="764" spans="1:7" x14ac:dyDescent="0.3">
      <c r="A764">
        <v>40</v>
      </c>
      <c r="B764">
        <v>110</v>
      </c>
      <c r="C764">
        <v>167</v>
      </c>
      <c r="D764">
        <v>0</v>
      </c>
      <c r="E764">
        <v>114</v>
      </c>
      <c r="F764">
        <v>2</v>
      </c>
      <c r="G764">
        <v>1</v>
      </c>
    </row>
    <row r="765" spans="1:7" x14ac:dyDescent="0.3">
      <c r="A765">
        <v>58</v>
      </c>
      <c r="B765">
        <v>132</v>
      </c>
      <c r="C765">
        <v>224</v>
      </c>
      <c r="D765">
        <v>0</v>
      </c>
      <c r="E765">
        <v>173</v>
      </c>
      <c r="F765">
        <v>3.2</v>
      </c>
      <c r="G765">
        <v>1</v>
      </c>
    </row>
    <row r="766" spans="1:7" x14ac:dyDescent="0.3">
      <c r="A766">
        <v>41</v>
      </c>
      <c r="B766">
        <v>112</v>
      </c>
      <c r="C766">
        <v>268</v>
      </c>
      <c r="D766">
        <v>0</v>
      </c>
      <c r="E766">
        <v>172</v>
      </c>
      <c r="F766">
        <v>0</v>
      </c>
      <c r="G766">
        <v>0</v>
      </c>
    </row>
    <row r="767" spans="1:7" x14ac:dyDescent="0.3">
      <c r="A767">
        <v>41</v>
      </c>
      <c r="B767">
        <v>112</v>
      </c>
      <c r="C767">
        <v>250</v>
      </c>
      <c r="D767">
        <v>0</v>
      </c>
      <c r="E767">
        <v>179</v>
      </c>
      <c r="F767">
        <v>0</v>
      </c>
      <c r="G767">
        <v>0</v>
      </c>
    </row>
    <row r="768" spans="1:7" x14ac:dyDescent="0.3">
      <c r="A768">
        <v>50</v>
      </c>
      <c r="B768">
        <v>120</v>
      </c>
      <c r="C768">
        <v>219</v>
      </c>
      <c r="D768">
        <v>0</v>
      </c>
      <c r="E768">
        <v>158</v>
      </c>
      <c r="F768">
        <v>1.6</v>
      </c>
      <c r="G768">
        <v>0</v>
      </c>
    </row>
    <row r="769" spans="1:7" x14ac:dyDescent="0.3">
      <c r="A769">
        <v>54</v>
      </c>
      <c r="B769">
        <v>108</v>
      </c>
      <c r="C769">
        <v>267</v>
      </c>
      <c r="D769">
        <v>0</v>
      </c>
      <c r="E769">
        <v>167</v>
      </c>
      <c r="F769">
        <v>0</v>
      </c>
      <c r="G769">
        <v>0</v>
      </c>
    </row>
    <row r="770" spans="1:7" x14ac:dyDescent="0.3">
      <c r="A770">
        <v>64</v>
      </c>
      <c r="B770">
        <v>130</v>
      </c>
      <c r="C770">
        <v>303</v>
      </c>
      <c r="D770">
        <v>0</v>
      </c>
      <c r="E770">
        <v>122</v>
      </c>
      <c r="F770">
        <v>2</v>
      </c>
      <c r="G770">
        <v>0</v>
      </c>
    </row>
    <row r="771" spans="1:7" x14ac:dyDescent="0.3">
      <c r="A771">
        <v>51</v>
      </c>
      <c r="B771">
        <v>130</v>
      </c>
      <c r="C771">
        <v>256</v>
      </c>
      <c r="D771">
        <v>0</v>
      </c>
      <c r="E771">
        <v>149</v>
      </c>
      <c r="F771">
        <v>0.5</v>
      </c>
      <c r="G771">
        <v>0</v>
      </c>
    </row>
    <row r="772" spans="1:7" x14ac:dyDescent="0.3">
      <c r="A772">
        <v>46</v>
      </c>
      <c r="B772">
        <v>105</v>
      </c>
      <c r="C772">
        <v>204</v>
      </c>
      <c r="D772">
        <v>0</v>
      </c>
      <c r="E772">
        <v>172</v>
      </c>
      <c r="F772">
        <v>0</v>
      </c>
      <c r="G772">
        <v>0</v>
      </c>
    </row>
    <row r="773" spans="1:7" x14ac:dyDescent="0.3">
      <c r="A773">
        <v>55</v>
      </c>
      <c r="B773">
        <v>140</v>
      </c>
      <c r="C773">
        <v>217</v>
      </c>
      <c r="D773">
        <v>0</v>
      </c>
      <c r="E773">
        <v>111</v>
      </c>
      <c r="F773">
        <v>5.6</v>
      </c>
      <c r="G773">
        <v>1</v>
      </c>
    </row>
    <row r="774" spans="1:7" x14ac:dyDescent="0.3">
      <c r="A774">
        <v>45</v>
      </c>
      <c r="B774">
        <v>128</v>
      </c>
      <c r="C774">
        <v>308</v>
      </c>
      <c r="D774">
        <v>0</v>
      </c>
      <c r="E774">
        <v>170</v>
      </c>
      <c r="F774">
        <v>0</v>
      </c>
      <c r="G774">
        <v>0</v>
      </c>
    </row>
    <row r="775" spans="1:7" x14ac:dyDescent="0.3">
      <c r="A775">
        <v>56</v>
      </c>
      <c r="B775">
        <v>120</v>
      </c>
      <c r="C775">
        <v>193</v>
      </c>
      <c r="D775">
        <v>0</v>
      </c>
      <c r="E775">
        <v>162</v>
      </c>
      <c r="F775">
        <v>1.9</v>
      </c>
      <c r="G775">
        <v>0</v>
      </c>
    </row>
    <row r="776" spans="1:7" x14ac:dyDescent="0.3">
      <c r="A776">
        <v>66</v>
      </c>
      <c r="B776">
        <v>178</v>
      </c>
      <c r="C776">
        <v>228</v>
      </c>
      <c r="D776">
        <v>1</v>
      </c>
      <c r="E776">
        <v>165</v>
      </c>
      <c r="F776">
        <v>1</v>
      </c>
      <c r="G776">
        <v>1</v>
      </c>
    </row>
    <row r="777" spans="1:7" x14ac:dyDescent="0.3">
      <c r="A777">
        <v>38</v>
      </c>
      <c r="B777">
        <v>120</v>
      </c>
      <c r="C777">
        <v>231</v>
      </c>
      <c r="D777">
        <v>0</v>
      </c>
      <c r="E777">
        <v>182</v>
      </c>
      <c r="F777">
        <v>3.8</v>
      </c>
      <c r="G777">
        <v>1</v>
      </c>
    </row>
    <row r="778" spans="1:7" x14ac:dyDescent="0.3">
      <c r="A778">
        <v>62</v>
      </c>
      <c r="B778">
        <v>150</v>
      </c>
      <c r="C778">
        <v>244</v>
      </c>
      <c r="D778">
        <v>0</v>
      </c>
      <c r="E778">
        <v>154</v>
      </c>
      <c r="F778">
        <v>1.4</v>
      </c>
      <c r="G778">
        <v>1</v>
      </c>
    </row>
    <row r="779" spans="1:7" x14ac:dyDescent="0.3">
      <c r="A779">
        <v>55</v>
      </c>
      <c r="B779">
        <v>130</v>
      </c>
      <c r="C779">
        <v>262</v>
      </c>
      <c r="D779">
        <v>0</v>
      </c>
      <c r="E779">
        <v>155</v>
      </c>
      <c r="F779">
        <v>0</v>
      </c>
      <c r="G779">
        <v>0</v>
      </c>
    </row>
    <row r="780" spans="1:7" x14ac:dyDescent="0.3">
      <c r="A780">
        <v>58</v>
      </c>
      <c r="B780">
        <v>128</v>
      </c>
      <c r="C780">
        <v>259</v>
      </c>
      <c r="D780">
        <v>0</v>
      </c>
      <c r="E780">
        <v>130</v>
      </c>
      <c r="F780">
        <v>3</v>
      </c>
      <c r="G780">
        <v>1</v>
      </c>
    </row>
    <row r="781" spans="1:7" x14ac:dyDescent="0.3">
      <c r="A781">
        <v>43</v>
      </c>
      <c r="B781">
        <v>110</v>
      </c>
      <c r="C781">
        <v>211</v>
      </c>
      <c r="D781">
        <v>0</v>
      </c>
      <c r="E781">
        <v>161</v>
      </c>
      <c r="F781">
        <v>0</v>
      </c>
      <c r="G781">
        <v>0</v>
      </c>
    </row>
    <row r="782" spans="1:7" x14ac:dyDescent="0.3">
      <c r="A782">
        <v>64</v>
      </c>
      <c r="B782">
        <v>180</v>
      </c>
      <c r="C782">
        <v>325</v>
      </c>
      <c r="D782">
        <v>0</v>
      </c>
      <c r="E782">
        <v>154</v>
      </c>
      <c r="F782">
        <v>0</v>
      </c>
      <c r="G782">
        <v>0</v>
      </c>
    </row>
    <row r="783" spans="1:7" x14ac:dyDescent="0.3">
      <c r="A783">
        <v>50</v>
      </c>
      <c r="B783">
        <v>110</v>
      </c>
      <c r="C783">
        <v>254</v>
      </c>
      <c r="D783">
        <v>0</v>
      </c>
      <c r="E783">
        <v>159</v>
      </c>
      <c r="F783">
        <v>0</v>
      </c>
      <c r="G783">
        <v>0</v>
      </c>
    </row>
    <row r="784" spans="1:7" x14ac:dyDescent="0.3">
      <c r="A784">
        <v>53</v>
      </c>
      <c r="B784">
        <v>130</v>
      </c>
      <c r="C784">
        <v>197</v>
      </c>
      <c r="D784">
        <v>1</v>
      </c>
      <c r="E784">
        <v>152</v>
      </c>
      <c r="F784">
        <v>1.2</v>
      </c>
      <c r="G784">
        <v>0</v>
      </c>
    </row>
    <row r="785" spans="1:7" x14ac:dyDescent="0.3">
      <c r="A785">
        <v>45</v>
      </c>
      <c r="B785">
        <v>138</v>
      </c>
      <c r="C785">
        <v>236</v>
      </c>
      <c r="D785">
        <v>0</v>
      </c>
      <c r="E785">
        <v>152</v>
      </c>
      <c r="F785">
        <v>0.2</v>
      </c>
      <c r="G785">
        <v>0</v>
      </c>
    </row>
    <row r="786" spans="1:7" x14ac:dyDescent="0.3">
      <c r="A786">
        <v>65</v>
      </c>
      <c r="B786">
        <v>138</v>
      </c>
      <c r="C786">
        <v>282</v>
      </c>
      <c r="D786">
        <v>1</v>
      </c>
      <c r="E786">
        <v>174</v>
      </c>
      <c r="F786">
        <v>1.4</v>
      </c>
      <c r="G786">
        <v>1</v>
      </c>
    </row>
    <row r="787" spans="1:7" x14ac:dyDescent="0.3">
      <c r="A787">
        <v>69</v>
      </c>
      <c r="B787">
        <v>160</v>
      </c>
      <c r="C787">
        <v>234</v>
      </c>
      <c r="D787">
        <v>1</v>
      </c>
      <c r="E787">
        <v>131</v>
      </c>
      <c r="F787">
        <v>0.1</v>
      </c>
      <c r="G787">
        <v>0</v>
      </c>
    </row>
    <row r="788" spans="1:7" x14ac:dyDescent="0.3">
      <c r="A788">
        <v>69</v>
      </c>
      <c r="B788">
        <v>140</v>
      </c>
      <c r="C788">
        <v>254</v>
      </c>
      <c r="D788">
        <v>0</v>
      </c>
      <c r="E788">
        <v>146</v>
      </c>
      <c r="F788">
        <v>2</v>
      </c>
      <c r="G788">
        <v>1</v>
      </c>
    </row>
    <row r="789" spans="1:7" x14ac:dyDescent="0.3">
      <c r="A789">
        <v>67</v>
      </c>
      <c r="B789">
        <v>100</v>
      </c>
      <c r="C789">
        <v>299</v>
      </c>
      <c r="D789">
        <v>0</v>
      </c>
      <c r="E789">
        <v>125</v>
      </c>
      <c r="F789">
        <v>0.9</v>
      </c>
      <c r="G789">
        <v>1</v>
      </c>
    </row>
    <row r="790" spans="1:7" x14ac:dyDescent="0.3">
      <c r="A790">
        <v>68</v>
      </c>
      <c r="B790">
        <v>120</v>
      </c>
      <c r="C790">
        <v>211</v>
      </c>
      <c r="D790">
        <v>0</v>
      </c>
      <c r="E790">
        <v>115</v>
      </c>
      <c r="F790">
        <v>1.5</v>
      </c>
      <c r="G790">
        <v>0</v>
      </c>
    </row>
    <row r="791" spans="1:7" x14ac:dyDescent="0.3">
      <c r="A791">
        <v>34</v>
      </c>
      <c r="B791">
        <v>118</v>
      </c>
      <c r="C791">
        <v>182</v>
      </c>
      <c r="D791">
        <v>0</v>
      </c>
      <c r="E791">
        <v>174</v>
      </c>
      <c r="F791">
        <v>0</v>
      </c>
      <c r="G791">
        <v>0</v>
      </c>
    </row>
    <row r="792" spans="1:7" x14ac:dyDescent="0.3">
      <c r="A792">
        <v>62</v>
      </c>
      <c r="B792">
        <v>138</v>
      </c>
      <c r="C792">
        <v>294</v>
      </c>
      <c r="D792">
        <v>1</v>
      </c>
      <c r="E792">
        <v>106</v>
      </c>
      <c r="F792">
        <v>1.9</v>
      </c>
      <c r="G792">
        <v>1</v>
      </c>
    </row>
    <row r="793" spans="1:7" x14ac:dyDescent="0.3">
      <c r="A793">
        <v>51</v>
      </c>
      <c r="B793">
        <v>140</v>
      </c>
      <c r="C793">
        <v>298</v>
      </c>
      <c r="D793">
        <v>0</v>
      </c>
      <c r="E793">
        <v>122</v>
      </c>
      <c r="F793">
        <v>4.2</v>
      </c>
      <c r="G793">
        <v>1</v>
      </c>
    </row>
    <row r="794" spans="1:7" x14ac:dyDescent="0.3">
      <c r="A794">
        <v>46</v>
      </c>
      <c r="B794">
        <v>150</v>
      </c>
      <c r="C794">
        <v>231</v>
      </c>
      <c r="D794">
        <v>0</v>
      </c>
      <c r="E794">
        <v>147</v>
      </c>
      <c r="F794">
        <v>3.6</v>
      </c>
      <c r="G794">
        <v>1</v>
      </c>
    </row>
    <row r="795" spans="1:7" x14ac:dyDescent="0.3">
      <c r="A795">
        <v>67</v>
      </c>
      <c r="B795">
        <v>125</v>
      </c>
      <c r="C795">
        <v>254</v>
      </c>
      <c r="D795">
        <v>1</v>
      </c>
      <c r="E795">
        <v>163</v>
      </c>
      <c r="F795">
        <v>0.2</v>
      </c>
      <c r="G795">
        <v>1</v>
      </c>
    </row>
    <row r="796" spans="1:7" x14ac:dyDescent="0.3">
      <c r="A796">
        <v>50</v>
      </c>
      <c r="B796">
        <v>129</v>
      </c>
      <c r="C796">
        <v>196</v>
      </c>
      <c r="D796">
        <v>0</v>
      </c>
      <c r="E796">
        <v>163</v>
      </c>
      <c r="F796">
        <v>0</v>
      </c>
      <c r="G796">
        <v>0</v>
      </c>
    </row>
    <row r="797" spans="1:7" x14ac:dyDescent="0.3">
      <c r="A797">
        <v>42</v>
      </c>
      <c r="B797">
        <v>120</v>
      </c>
      <c r="C797">
        <v>240</v>
      </c>
      <c r="D797">
        <v>1</v>
      </c>
      <c r="E797">
        <v>194</v>
      </c>
      <c r="F797">
        <v>0.8</v>
      </c>
      <c r="G797">
        <v>0</v>
      </c>
    </row>
    <row r="798" spans="1:7" x14ac:dyDescent="0.3">
      <c r="A798">
        <v>56</v>
      </c>
      <c r="B798">
        <v>134</v>
      </c>
      <c r="C798">
        <v>409</v>
      </c>
      <c r="D798">
        <v>0</v>
      </c>
      <c r="E798">
        <v>150</v>
      </c>
      <c r="F798">
        <v>1.9</v>
      </c>
      <c r="G798">
        <v>1</v>
      </c>
    </row>
    <row r="799" spans="1:7" x14ac:dyDescent="0.3">
      <c r="A799">
        <v>41</v>
      </c>
      <c r="B799">
        <v>110</v>
      </c>
      <c r="C799">
        <v>172</v>
      </c>
      <c r="D799">
        <v>0</v>
      </c>
      <c r="E799">
        <v>158</v>
      </c>
      <c r="F799">
        <v>0</v>
      </c>
      <c r="G799">
        <v>1</v>
      </c>
    </row>
    <row r="800" spans="1:7" x14ac:dyDescent="0.3">
      <c r="A800">
        <v>42</v>
      </c>
      <c r="B800">
        <v>102</v>
      </c>
      <c r="C800">
        <v>265</v>
      </c>
      <c r="D800">
        <v>0</v>
      </c>
      <c r="E800">
        <v>122</v>
      </c>
      <c r="F800">
        <v>0.6</v>
      </c>
      <c r="G800">
        <v>0</v>
      </c>
    </row>
    <row r="801" spans="1:7" x14ac:dyDescent="0.3">
      <c r="A801">
        <v>53</v>
      </c>
      <c r="B801">
        <v>130</v>
      </c>
      <c r="C801">
        <v>246</v>
      </c>
      <c r="D801">
        <v>1</v>
      </c>
      <c r="E801">
        <v>173</v>
      </c>
      <c r="F801">
        <v>0</v>
      </c>
      <c r="G801">
        <v>0</v>
      </c>
    </row>
    <row r="802" spans="1:7" x14ac:dyDescent="0.3">
      <c r="A802">
        <v>43</v>
      </c>
      <c r="B802">
        <v>130</v>
      </c>
      <c r="C802">
        <v>315</v>
      </c>
      <c r="D802">
        <v>0</v>
      </c>
      <c r="E802">
        <v>162</v>
      </c>
      <c r="F802">
        <v>1.9</v>
      </c>
      <c r="G802">
        <v>0</v>
      </c>
    </row>
    <row r="803" spans="1:7" x14ac:dyDescent="0.3">
      <c r="A803">
        <v>56</v>
      </c>
      <c r="B803">
        <v>132</v>
      </c>
      <c r="C803">
        <v>184</v>
      </c>
      <c r="D803">
        <v>0</v>
      </c>
      <c r="E803">
        <v>105</v>
      </c>
      <c r="F803">
        <v>2.1</v>
      </c>
      <c r="G803">
        <v>1</v>
      </c>
    </row>
    <row r="804" spans="1:7" x14ac:dyDescent="0.3">
      <c r="A804">
        <v>52</v>
      </c>
      <c r="B804">
        <v>108</v>
      </c>
      <c r="C804">
        <v>233</v>
      </c>
      <c r="D804">
        <v>1</v>
      </c>
      <c r="E804">
        <v>147</v>
      </c>
      <c r="F804">
        <v>0.1</v>
      </c>
      <c r="G804">
        <v>0</v>
      </c>
    </row>
    <row r="805" spans="1:7" x14ac:dyDescent="0.3">
      <c r="A805">
        <v>62</v>
      </c>
      <c r="B805">
        <v>140</v>
      </c>
      <c r="C805">
        <v>394</v>
      </c>
      <c r="D805">
        <v>0</v>
      </c>
      <c r="E805">
        <v>157</v>
      </c>
      <c r="F805">
        <v>1.2</v>
      </c>
      <c r="G805">
        <v>0</v>
      </c>
    </row>
    <row r="806" spans="1:7" x14ac:dyDescent="0.3">
      <c r="A806">
        <v>70</v>
      </c>
      <c r="B806">
        <v>160</v>
      </c>
      <c r="C806">
        <v>269</v>
      </c>
      <c r="D806">
        <v>0</v>
      </c>
      <c r="E806">
        <v>112</v>
      </c>
      <c r="F806">
        <v>2.9</v>
      </c>
      <c r="G806">
        <v>1</v>
      </c>
    </row>
    <row r="807" spans="1:7" x14ac:dyDescent="0.3">
      <c r="A807">
        <v>54</v>
      </c>
      <c r="B807">
        <v>140</v>
      </c>
      <c r="C807">
        <v>239</v>
      </c>
      <c r="D807">
        <v>0</v>
      </c>
      <c r="E807">
        <v>160</v>
      </c>
      <c r="F807">
        <v>1.2</v>
      </c>
      <c r="G807">
        <v>0</v>
      </c>
    </row>
    <row r="808" spans="1:7" x14ac:dyDescent="0.3">
      <c r="A808">
        <v>70</v>
      </c>
      <c r="B808">
        <v>145</v>
      </c>
      <c r="C808">
        <v>174</v>
      </c>
      <c r="D808">
        <v>0</v>
      </c>
      <c r="E808">
        <v>125</v>
      </c>
      <c r="F808">
        <v>2.6</v>
      </c>
      <c r="G808">
        <v>1</v>
      </c>
    </row>
    <row r="809" spans="1:7" x14ac:dyDescent="0.3">
      <c r="A809">
        <v>54</v>
      </c>
      <c r="B809">
        <v>108</v>
      </c>
      <c r="C809">
        <v>309</v>
      </c>
      <c r="D809">
        <v>0</v>
      </c>
      <c r="E809">
        <v>156</v>
      </c>
      <c r="F809">
        <v>0</v>
      </c>
      <c r="G809">
        <v>0</v>
      </c>
    </row>
    <row r="810" spans="1:7" x14ac:dyDescent="0.3">
      <c r="A810">
        <v>35</v>
      </c>
      <c r="B810">
        <v>126</v>
      </c>
      <c r="C810">
        <v>282</v>
      </c>
      <c r="D810">
        <v>0</v>
      </c>
      <c r="E810">
        <v>156</v>
      </c>
      <c r="F810">
        <v>0</v>
      </c>
      <c r="G810">
        <v>1</v>
      </c>
    </row>
    <row r="811" spans="1:7" x14ac:dyDescent="0.3">
      <c r="A811">
        <v>48</v>
      </c>
      <c r="B811">
        <v>124</v>
      </c>
      <c r="C811">
        <v>255</v>
      </c>
      <c r="D811">
        <v>1</v>
      </c>
      <c r="E811">
        <v>175</v>
      </c>
      <c r="F811">
        <v>0</v>
      </c>
      <c r="G811">
        <v>0</v>
      </c>
    </row>
    <row r="812" spans="1:7" x14ac:dyDescent="0.3">
      <c r="A812">
        <v>55</v>
      </c>
      <c r="B812">
        <v>135</v>
      </c>
      <c r="C812">
        <v>250</v>
      </c>
      <c r="D812">
        <v>0</v>
      </c>
      <c r="E812">
        <v>161</v>
      </c>
      <c r="F812">
        <v>1.4</v>
      </c>
      <c r="G812">
        <v>0</v>
      </c>
    </row>
    <row r="813" spans="1:7" x14ac:dyDescent="0.3">
      <c r="A813">
        <v>58</v>
      </c>
      <c r="B813">
        <v>100</v>
      </c>
      <c r="C813">
        <v>248</v>
      </c>
      <c r="D813">
        <v>0</v>
      </c>
      <c r="E813">
        <v>122</v>
      </c>
      <c r="F813">
        <v>1</v>
      </c>
      <c r="G813">
        <v>0</v>
      </c>
    </row>
    <row r="814" spans="1:7" x14ac:dyDescent="0.3">
      <c r="A814">
        <v>54</v>
      </c>
      <c r="B814">
        <v>110</v>
      </c>
      <c r="C814">
        <v>214</v>
      </c>
      <c r="D814">
        <v>0</v>
      </c>
      <c r="E814">
        <v>158</v>
      </c>
      <c r="F814">
        <v>1.6</v>
      </c>
      <c r="G814">
        <v>0</v>
      </c>
    </row>
    <row r="815" spans="1:7" x14ac:dyDescent="0.3">
      <c r="A815">
        <v>69</v>
      </c>
      <c r="B815">
        <v>140</v>
      </c>
      <c r="C815">
        <v>239</v>
      </c>
      <c r="D815">
        <v>0</v>
      </c>
      <c r="E815">
        <v>151</v>
      </c>
      <c r="F815">
        <v>1.8</v>
      </c>
      <c r="G815">
        <v>0</v>
      </c>
    </row>
    <row r="816" spans="1:7" x14ac:dyDescent="0.3">
      <c r="A816">
        <v>77</v>
      </c>
      <c r="B816">
        <v>125</v>
      </c>
      <c r="C816">
        <v>304</v>
      </c>
      <c r="D816">
        <v>0</v>
      </c>
      <c r="E816">
        <v>162</v>
      </c>
      <c r="F816">
        <v>0</v>
      </c>
      <c r="G816">
        <v>1</v>
      </c>
    </row>
    <row r="817" spans="1:7" x14ac:dyDescent="0.3">
      <c r="A817">
        <v>68</v>
      </c>
      <c r="B817">
        <v>118</v>
      </c>
      <c r="C817">
        <v>277</v>
      </c>
      <c r="D817">
        <v>0</v>
      </c>
      <c r="E817">
        <v>151</v>
      </c>
      <c r="F817">
        <v>1</v>
      </c>
      <c r="G817">
        <v>0</v>
      </c>
    </row>
    <row r="818" spans="1:7" x14ac:dyDescent="0.3">
      <c r="A818">
        <v>58</v>
      </c>
      <c r="B818">
        <v>125</v>
      </c>
      <c r="C818">
        <v>300</v>
      </c>
      <c r="D818">
        <v>0</v>
      </c>
      <c r="E818">
        <v>171</v>
      </c>
      <c r="F818">
        <v>0</v>
      </c>
      <c r="G818">
        <v>1</v>
      </c>
    </row>
    <row r="819" spans="1:7" x14ac:dyDescent="0.3">
      <c r="A819">
        <v>60</v>
      </c>
      <c r="B819">
        <v>125</v>
      </c>
      <c r="C819">
        <v>258</v>
      </c>
      <c r="D819">
        <v>0</v>
      </c>
      <c r="E819">
        <v>141</v>
      </c>
      <c r="F819">
        <v>2.8</v>
      </c>
      <c r="G819">
        <v>1</v>
      </c>
    </row>
    <row r="820" spans="1:7" x14ac:dyDescent="0.3">
      <c r="A820">
        <v>51</v>
      </c>
      <c r="B820">
        <v>140</v>
      </c>
      <c r="C820">
        <v>299</v>
      </c>
      <c r="D820">
        <v>0</v>
      </c>
      <c r="E820">
        <v>173</v>
      </c>
      <c r="F820">
        <v>1.6</v>
      </c>
      <c r="G820">
        <v>1</v>
      </c>
    </row>
    <row r="821" spans="1:7" x14ac:dyDescent="0.3">
      <c r="A821">
        <v>55</v>
      </c>
      <c r="B821">
        <v>160</v>
      </c>
      <c r="C821">
        <v>289</v>
      </c>
      <c r="D821">
        <v>0</v>
      </c>
      <c r="E821">
        <v>145</v>
      </c>
      <c r="F821">
        <v>0.8</v>
      </c>
      <c r="G821">
        <v>1</v>
      </c>
    </row>
    <row r="822" spans="1:7" x14ac:dyDescent="0.3">
      <c r="A822">
        <v>52</v>
      </c>
      <c r="B822">
        <v>152</v>
      </c>
      <c r="C822">
        <v>298</v>
      </c>
      <c r="D822">
        <v>1</v>
      </c>
      <c r="E822">
        <v>178</v>
      </c>
      <c r="F822">
        <v>1.2</v>
      </c>
      <c r="G822">
        <v>0</v>
      </c>
    </row>
    <row r="823" spans="1:7" x14ac:dyDescent="0.3">
      <c r="A823">
        <v>60</v>
      </c>
      <c r="B823">
        <v>102</v>
      </c>
      <c r="C823">
        <v>318</v>
      </c>
      <c r="D823">
        <v>0</v>
      </c>
      <c r="E823">
        <v>160</v>
      </c>
      <c r="F823">
        <v>0</v>
      </c>
      <c r="G823">
        <v>0</v>
      </c>
    </row>
    <row r="824" spans="1:7" x14ac:dyDescent="0.3">
      <c r="A824">
        <v>58</v>
      </c>
      <c r="B824">
        <v>105</v>
      </c>
      <c r="C824">
        <v>240</v>
      </c>
      <c r="D824">
        <v>0</v>
      </c>
      <c r="E824">
        <v>154</v>
      </c>
      <c r="F824">
        <v>0.6</v>
      </c>
      <c r="G824">
        <v>0</v>
      </c>
    </row>
    <row r="825" spans="1:7" x14ac:dyDescent="0.3">
      <c r="A825">
        <v>64</v>
      </c>
      <c r="B825">
        <v>125</v>
      </c>
      <c r="C825">
        <v>309</v>
      </c>
      <c r="D825">
        <v>0</v>
      </c>
      <c r="E825">
        <v>131</v>
      </c>
      <c r="F825">
        <v>1.8</v>
      </c>
      <c r="G825">
        <v>1</v>
      </c>
    </row>
    <row r="826" spans="1:7" x14ac:dyDescent="0.3">
      <c r="A826">
        <v>37</v>
      </c>
      <c r="B826">
        <v>130</v>
      </c>
      <c r="C826">
        <v>250</v>
      </c>
      <c r="D826">
        <v>0</v>
      </c>
      <c r="E826">
        <v>187</v>
      </c>
      <c r="F826">
        <v>3.5</v>
      </c>
      <c r="G826">
        <v>0</v>
      </c>
    </row>
    <row r="827" spans="1:7" x14ac:dyDescent="0.3">
      <c r="A827">
        <v>59</v>
      </c>
      <c r="B827">
        <v>170</v>
      </c>
      <c r="C827">
        <v>288</v>
      </c>
      <c r="D827">
        <v>0</v>
      </c>
      <c r="E827">
        <v>159</v>
      </c>
      <c r="F827">
        <v>0.2</v>
      </c>
      <c r="G827">
        <v>1</v>
      </c>
    </row>
    <row r="828" spans="1:7" x14ac:dyDescent="0.3">
      <c r="A828">
        <v>51</v>
      </c>
      <c r="B828">
        <v>125</v>
      </c>
      <c r="C828">
        <v>245</v>
      </c>
      <c r="D828">
        <v>1</v>
      </c>
      <c r="E828">
        <v>166</v>
      </c>
      <c r="F828">
        <v>2.4</v>
      </c>
      <c r="G828">
        <v>0</v>
      </c>
    </row>
    <row r="829" spans="1:7" x14ac:dyDescent="0.3">
      <c r="A829">
        <v>43</v>
      </c>
      <c r="B829">
        <v>122</v>
      </c>
      <c r="C829">
        <v>213</v>
      </c>
      <c r="D829">
        <v>0</v>
      </c>
      <c r="E829">
        <v>165</v>
      </c>
      <c r="F829">
        <v>0.2</v>
      </c>
      <c r="G829">
        <v>0</v>
      </c>
    </row>
    <row r="830" spans="1:7" x14ac:dyDescent="0.3">
      <c r="A830">
        <v>58</v>
      </c>
      <c r="B830">
        <v>128</v>
      </c>
      <c r="C830">
        <v>216</v>
      </c>
      <c r="D830">
        <v>0</v>
      </c>
      <c r="E830">
        <v>131</v>
      </c>
      <c r="F830">
        <v>2.2000000000000002</v>
      </c>
      <c r="G830">
        <v>1</v>
      </c>
    </row>
    <row r="831" spans="1:7" x14ac:dyDescent="0.3">
      <c r="A831">
        <v>29</v>
      </c>
      <c r="B831">
        <v>130</v>
      </c>
      <c r="C831">
        <v>204</v>
      </c>
      <c r="D831">
        <v>0</v>
      </c>
      <c r="E831">
        <v>202</v>
      </c>
      <c r="F831">
        <v>0</v>
      </c>
      <c r="G831">
        <v>0</v>
      </c>
    </row>
    <row r="832" spans="1:7" x14ac:dyDescent="0.3">
      <c r="A832">
        <v>41</v>
      </c>
      <c r="B832">
        <v>130</v>
      </c>
      <c r="C832">
        <v>204</v>
      </c>
      <c r="D832">
        <v>0</v>
      </c>
      <c r="E832">
        <v>172</v>
      </c>
      <c r="F832">
        <v>1.4</v>
      </c>
      <c r="G832">
        <v>0</v>
      </c>
    </row>
    <row r="833" spans="1:7" x14ac:dyDescent="0.3">
      <c r="A833">
        <v>63</v>
      </c>
      <c r="B833">
        <v>135</v>
      </c>
      <c r="C833">
        <v>252</v>
      </c>
      <c r="D833">
        <v>0</v>
      </c>
      <c r="E833">
        <v>172</v>
      </c>
      <c r="F833">
        <v>0</v>
      </c>
      <c r="G833">
        <v>0</v>
      </c>
    </row>
    <row r="834" spans="1:7" x14ac:dyDescent="0.3">
      <c r="A834">
        <v>51</v>
      </c>
      <c r="B834">
        <v>94</v>
      </c>
      <c r="C834">
        <v>227</v>
      </c>
      <c r="D834">
        <v>0</v>
      </c>
      <c r="E834">
        <v>154</v>
      </c>
      <c r="F834">
        <v>0</v>
      </c>
      <c r="G834">
        <v>0</v>
      </c>
    </row>
    <row r="835" spans="1:7" x14ac:dyDescent="0.3">
      <c r="A835">
        <v>54</v>
      </c>
      <c r="B835">
        <v>120</v>
      </c>
      <c r="C835">
        <v>258</v>
      </c>
      <c r="D835">
        <v>0</v>
      </c>
      <c r="E835">
        <v>147</v>
      </c>
      <c r="F835">
        <v>0.4</v>
      </c>
      <c r="G835">
        <v>0</v>
      </c>
    </row>
    <row r="836" spans="1:7" x14ac:dyDescent="0.3">
      <c r="A836">
        <v>44</v>
      </c>
      <c r="B836">
        <v>120</v>
      </c>
      <c r="C836">
        <v>220</v>
      </c>
      <c r="D836">
        <v>0</v>
      </c>
      <c r="E836">
        <v>170</v>
      </c>
      <c r="F836">
        <v>0</v>
      </c>
      <c r="G836">
        <v>0</v>
      </c>
    </row>
    <row r="837" spans="1:7" x14ac:dyDescent="0.3">
      <c r="A837">
        <v>54</v>
      </c>
      <c r="B837">
        <v>110</v>
      </c>
      <c r="C837">
        <v>239</v>
      </c>
      <c r="D837">
        <v>0</v>
      </c>
      <c r="E837">
        <v>126</v>
      </c>
      <c r="F837">
        <v>2.8</v>
      </c>
      <c r="G837">
        <v>1</v>
      </c>
    </row>
    <row r="838" spans="1:7" x14ac:dyDescent="0.3">
      <c r="A838">
        <v>65</v>
      </c>
      <c r="B838">
        <v>135</v>
      </c>
      <c r="C838">
        <v>254</v>
      </c>
      <c r="D838">
        <v>0</v>
      </c>
      <c r="E838">
        <v>127</v>
      </c>
      <c r="F838">
        <v>2.8</v>
      </c>
      <c r="G838">
        <v>1</v>
      </c>
    </row>
    <row r="839" spans="1:7" x14ac:dyDescent="0.3">
      <c r="A839">
        <v>57</v>
      </c>
      <c r="B839">
        <v>150</v>
      </c>
      <c r="C839">
        <v>168</v>
      </c>
      <c r="D839">
        <v>0</v>
      </c>
      <c r="E839">
        <v>174</v>
      </c>
      <c r="F839">
        <v>1.6</v>
      </c>
      <c r="G839">
        <v>0</v>
      </c>
    </row>
    <row r="840" spans="1:7" x14ac:dyDescent="0.3">
      <c r="A840">
        <v>63</v>
      </c>
      <c r="B840">
        <v>130</v>
      </c>
      <c r="C840">
        <v>330</v>
      </c>
      <c r="D840">
        <v>1</v>
      </c>
      <c r="E840">
        <v>132</v>
      </c>
      <c r="F840">
        <v>1.8</v>
      </c>
      <c r="G840">
        <v>1</v>
      </c>
    </row>
    <row r="841" spans="1:7" x14ac:dyDescent="0.3">
      <c r="A841">
        <v>35</v>
      </c>
      <c r="B841">
        <v>138</v>
      </c>
      <c r="C841">
        <v>183</v>
      </c>
      <c r="D841">
        <v>0</v>
      </c>
      <c r="E841">
        <v>182</v>
      </c>
      <c r="F841">
        <v>1.4</v>
      </c>
      <c r="G841">
        <v>0</v>
      </c>
    </row>
    <row r="842" spans="1:7" x14ac:dyDescent="0.3">
      <c r="A842">
        <v>41</v>
      </c>
      <c r="B842">
        <v>135</v>
      </c>
      <c r="C842">
        <v>203</v>
      </c>
      <c r="D842">
        <v>0</v>
      </c>
      <c r="E842">
        <v>132</v>
      </c>
      <c r="F842">
        <v>0</v>
      </c>
      <c r="G842">
        <v>0</v>
      </c>
    </row>
    <row r="843" spans="1:7" x14ac:dyDescent="0.3">
      <c r="A843">
        <v>62</v>
      </c>
      <c r="B843">
        <v>130</v>
      </c>
      <c r="C843">
        <v>263</v>
      </c>
      <c r="D843">
        <v>0</v>
      </c>
      <c r="E843">
        <v>97</v>
      </c>
      <c r="F843">
        <v>1.2</v>
      </c>
      <c r="G843">
        <v>1</v>
      </c>
    </row>
    <row r="844" spans="1:7" x14ac:dyDescent="0.3">
      <c r="A844">
        <v>43</v>
      </c>
      <c r="B844">
        <v>132</v>
      </c>
      <c r="C844">
        <v>341</v>
      </c>
      <c r="D844">
        <v>1</v>
      </c>
      <c r="E844">
        <v>136</v>
      </c>
      <c r="F844">
        <v>3</v>
      </c>
      <c r="G844">
        <v>1</v>
      </c>
    </row>
    <row r="845" spans="1:7" x14ac:dyDescent="0.3">
      <c r="A845">
        <v>58</v>
      </c>
      <c r="B845">
        <v>150</v>
      </c>
      <c r="C845">
        <v>283</v>
      </c>
      <c r="D845">
        <v>1</v>
      </c>
      <c r="E845">
        <v>162</v>
      </c>
      <c r="F845">
        <v>1</v>
      </c>
      <c r="G845">
        <v>0</v>
      </c>
    </row>
    <row r="846" spans="1:7" x14ac:dyDescent="0.3">
      <c r="A846">
        <v>52</v>
      </c>
      <c r="B846">
        <v>118</v>
      </c>
      <c r="C846">
        <v>186</v>
      </c>
      <c r="D846">
        <v>0</v>
      </c>
      <c r="E846">
        <v>190</v>
      </c>
      <c r="F846">
        <v>0</v>
      </c>
      <c r="G846">
        <v>0</v>
      </c>
    </row>
    <row r="847" spans="1:7" x14ac:dyDescent="0.3">
      <c r="A847">
        <v>61</v>
      </c>
      <c r="B847">
        <v>145</v>
      </c>
      <c r="C847">
        <v>307</v>
      </c>
      <c r="D847">
        <v>0</v>
      </c>
      <c r="E847">
        <v>146</v>
      </c>
      <c r="F847">
        <v>1</v>
      </c>
      <c r="G847">
        <v>1</v>
      </c>
    </row>
    <row r="848" spans="1:7" x14ac:dyDescent="0.3">
      <c r="A848">
        <v>39</v>
      </c>
      <c r="B848">
        <v>118</v>
      </c>
      <c r="C848">
        <v>219</v>
      </c>
      <c r="D848">
        <v>0</v>
      </c>
      <c r="E848">
        <v>140</v>
      </c>
      <c r="F848">
        <v>1.2</v>
      </c>
      <c r="G848">
        <v>1</v>
      </c>
    </row>
    <row r="849" spans="1:7" x14ac:dyDescent="0.3">
      <c r="A849">
        <v>45</v>
      </c>
      <c r="B849">
        <v>115</v>
      </c>
      <c r="C849">
        <v>260</v>
      </c>
      <c r="D849">
        <v>0</v>
      </c>
      <c r="E849">
        <v>185</v>
      </c>
      <c r="F849">
        <v>0</v>
      </c>
      <c r="G849">
        <v>0</v>
      </c>
    </row>
    <row r="850" spans="1:7" x14ac:dyDescent="0.3">
      <c r="A850">
        <v>52</v>
      </c>
      <c r="B850">
        <v>128</v>
      </c>
      <c r="C850">
        <v>255</v>
      </c>
      <c r="D850">
        <v>0</v>
      </c>
      <c r="E850">
        <v>161</v>
      </c>
      <c r="F850">
        <v>0</v>
      </c>
      <c r="G850">
        <v>1</v>
      </c>
    </row>
    <row r="851" spans="1:7" x14ac:dyDescent="0.3">
      <c r="A851">
        <v>62</v>
      </c>
      <c r="B851">
        <v>130</v>
      </c>
      <c r="C851">
        <v>231</v>
      </c>
      <c r="D851">
        <v>0</v>
      </c>
      <c r="E851">
        <v>146</v>
      </c>
      <c r="F851">
        <v>1.8</v>
      </c>
      <c r="G851">
        <v>0</v>
      </c>
    </row>
    <row r="852" spans="1:7" x14ac:dyDescent="0.3">
      <c r="A852">
        <v>62</v>
      </c>
      <c r="B852">
        <v>160</v>
      </c>
      <c r="C852">
        <v>164</v>
      </c>
      <c r="D852">
        <v>0</v>
      </c>
      <c r="E852">
        <v>145</v>
      </c>
      <c r="F852">
        <v>6.2</v>
      </c>
      <c r="G852">
        <v>1</v>
      </c>
    </row>
    <row r="853" spans="1:7" x14ac:dyDescent="0.3">
      <c r="A853">
        <v>53</v>
      </c>
      <c r="B853">
        <v>138</v>
      </c>
      <c r="C853">
        <v>234</v>
      </c>
      <c r="D853">
        <v>0</v>
      </c>
      <c r="E853">
        <v>160</v>
      </c>
      <c r="F853">
        <v>0</v>
      </c>
      <c r="G853">
        <v>0</v>
      </c>
    </row>
    <row r="854" spans="1:7" x14ac:dyDescent="0.3">
      <c r="A854">
        <v>43</v>
      </c>
      <c r="B854">
        <v>120</v>
      </c>
      <c r="C854">
        <v>177</v>
      </c>
      <c r="D854">
        <v>0</v>
      </c>
      <c r="E854">
        <v>120</v>
      </c>
      <c r="F854">
        <v>2.5</v>
      </c>
      <c r="G854">
        <v>1</v>
      </c>
    </row>
    <row r="855" spans="1:7" x14ac:dyDescent="0.3">
      <c r="A855">
        <v>47</v>
      </c>
      <c r="B855">
        <v>138</v>
      </c>
      <c r="C855">
        <v>257</v>
      </c>
      <c r="D855">
        <v>0</v>
      </c>
      <c r="E855">
        <v>156</v>
      </c>
      <c r="F855">
        <v>0</v>
      </c>
      <c r="G855">
        <v>0</v>
      </c>
    </row>
    <row r="856" spans="1:7" x14ac:dyDescent="0.3">
      <c r="A856">
        <v>52</v>
      </c>
      <c r="B856">
        <v>120</v>
      </c>
      <c r="C856">
        <v>325</v>
      </c>
      <c r="D856">
        <v>0</v>
      </c>
      <c r="E856">
        <v>172</v>
      </c>
      <c r="F856">
        <v>0.2</v>
      </c>
      <c r="G856">
        <v>0</v>
      </c>
    </row>
    <row r="857" spans="1:7" x14ac:dyDescent="0.3">
      <c r="A857">
        <v>68</v>
      </c>
      <c r="B857">
        <v>180</v>
      </c>
      <c r="C857">
        <v>274</v>
      </c>
      <c r="D857">
        <v>1</v>
      </c>
      <c r="E857">
        <v>150</v>
      </c>
      <c r="F857">
        <v>1.6</v>
      </c>
      <c r="G857">
        <v>1</v>
      </c>
    </row>
    <row r="858" spans="1:7" x14ac:dyDescent="0.3">
      <c r="A858">
        <v>39</v>
      </c>
      <c r="B858">
        <v>140</v>
      </c>
      <c r="C858">
        <v>321</v>
      </c>
      <c r="D858">
        <v>0</v>
      </c>
      <c r="E858">
        <v>182</v>
      </c>
      <c r="F858">
        <v>0</v>
      </c>
      <c r="G858">
        <v>0</v>
      </c>
    </row>
    <row r="859" spans="1:7" x14ac:dyDescent="0.3">
      <c r="A859">
        <v>53</v>
      </c>
      <c r="B859">
        <v>130</v>
      </c>
      <c r="C859">
        <v>264</v>
      </c>
      <c r="D859">
        <v>0</v>
      </c>
      <c r="E859">
        <v>143</v>
      </c>
      <c r="F859">
        <v>0.4</v>
      </c>
      <c r="G859">
        <v>0</v>
      </c>
    </row>
    <row r="860" spans="1:7" x14ac:dyDescent="0.3">
      <c r="A860">
        <v>62</v>
      </c>
      <c r="B860">
        <v>140</v>
      </c>
      <c r="C860">
        <v>268</v>
      </c>
      <c r="D860">
        <v>0</v>
      </c>
      <c r="E860">
        <v>160</v>
      </c>
      <c r="F860">
        <v>3.6</v>
      </c>
      <c r="G860">
        <v>1</v>
      </c>
    </row>
    <row r="861" spans="1:7" x14ac:dyDescent="0.3">
      <c r="A861">
        <v>51</v>
      </c>
      <c r="B861">
        <v>140</v>
      </c>
      <c r="C861">
        <v>308</v>
      </c>
      <c r="D861">
        <v>0</v>
      </c>
      <c r="E861">
        <v>142</v>
      </c>
      <c r="F861">
        <v>1.5</v>
      </c>
      <c r="G861">
        <v>0</v>
      </c>
    </row>
    <row r="862" spans="1:7" x14ac:dyDescent="0.3">
      <c r="A862">
        <v>60</v>
      </c>
      <c r="B862">
        <v>130</v>
      </c>
      <c r="C862">
        <v>253</v>
      </c>
      <c r="D862">
        <v>0</v>
      </c>
      <c r="E862">
        <v>144</v>
      </c>
      <c r="F862">
        <v>1.4</v>
      </c>
      <c r="G862">
        <v>1</v>
      </c>
    </row>
    <row r="863" spans="1:7" x14ac:dyDescent="0.3">
      <c r="A863">
        <v>65</v>
      </c>
      <c r="B863">
        <v>110</v>
      </c>
      <c r="C863">
        <v>248</v>
      </c>
      <c r="D863">
        <v>0</v>
      </c>
      <c r="E863">
        <v>158</v>
      </c>
      <c r="F863">
        <v>0.6</v>
      </c>
      <c r="G863">
        <v>1</v>
      </c>
    </row>
    <row r="864" spans="1:7" x14ac:dyDescent="0.3">
      <c r="A864">
        <v>65</v>
      </c>
      <c r="B864">
        <v>155</v>
      </c>
      <c r="C864">
        <v>269</v>
      </c>
      <c r="D864">
        <v>0</v>
      </c>
      <c r="E864">
        <v>148</v>
      </c>
      <c r="F864">
        <v>0.8</v>
      </c>
      <c r="G864">
        <v>0</v>
      </c>
    </row>
    <row r="865" spans="1:7" x14ac:dyDescent="0.3">
      <c r="A865">
        <v>60</v>
      </c>
      <c r="B865">
        <v>140</v>
      </c>
      <c r="C865">
        <v>185</v>
      </c>
      <c r="D865">
        <v>0</v>
      </c>
      <c r="E865">
        <v>155</v>
      </c>
      <c r="F865">
        <v>3</v>
      </c>
      <c r="G865">
        <v>1</v>
      </c>
    </row>
    <row r="866" spans="1:7" x14ac:dyDescent="0.3">
      <c r="A866">
        <v>60</v>
      </c>
      <c r="B866">
        <v>145</v>
      </c>
      <c r="C866">
        <v>282</v>
      </c>
      <c r="D866">
        <v>0</v>
      </c>
      <c r="E866">
        <v>142</v>
      </c>
      <c r="F866">
        <v>2.8</v>
      </c>
      <c r="G866">
        <v>1</v>
      </c>
    </row>
    <row r="867" spans="1:7" x14ac:dyDescent="0.3">
      <c r="A867">
        <v>54</v>
      </c>
      <c r="B867">
        <v>120</v>
      </c>
      <c r="C867">
        <v>188</v>
      </c>
      <c r="D867">
        <v>0</v>
      </c>
      <c r="E867">
        <v>113</v>
      </c>
      <c r="F867">
        <v>1.4</v>
      </c>
      <c r="G867">
        <v>1</v>
      </c>
    </row>
    <row r="868" spans="1:7" x14ac:dyDescent="0.3">
      <c r="A868">
        <v>44</v>
      </c>
      <c r="B868">
        <v>130</v>
      </c>
      <c r="C868">
        <v>219</v>
      </c>
      <c r="D868">
        <v>0</v>
      </c>
      <c r="E868">
        <v>188</v>
      </c>
      <c r="F868">
        <v>0</v>
      </c>
      <c r="G868">
        <v>0</v>
      </c>
    </row>
    <row r="869" spans="1:7" x14ac:dyDescent="0.3">
      <c r="A869">
        <v>44</v>
      </c>
      <c r="B869">
        <v>112</v>
      </c>
      <c r="C869">
        <v>290</v>
      </c>
      <c r="D869">
        <v>0</v>
      </c>
      <c r="E869">
        <v>153</v>
      </c>
      <c r="F869">
        <v>0</v>
      </c>
      <c r="G869">
        <v>1</v>
      </c>
    </row>
    <row r="870" spans="1:7" x14ac:dyDescent="0.3">
      <c r="A870">
        <v>51</v>
      </c>
      <c r="B870">
        <v>110</v>
      </c>
      <c r="C870">
        <v>175</v>
      </c>
      <c r="D870">
        <v>0</v>
      </c>
      <c r="E870">
        <v>123</v>
      </c>
      <c r="F870">
        <v>0.6</v>
      </c>
      <c r="G870">
        <v>0</v>
      </c>
    </row>
    <row r="871" spans="1:7" x14ac:dyDescent="0.3">
      <c r="A871">
        <v>59</v>
      </c>
      <c r="B871">
        <v>150</v>
      </c>
      <c r="C871">
        <v>212</v>
      </c>
      <c r="D871">
        <v>1</v>
      </c>
      <c r="E871">
        <v>157</v>
      </c>
      <c r="F871">
        <v>1.6</v>
      </c>
      <c r="G871">
        <v>0</v>
      </c>
    </row>
    <row r="872" spans="1:7" x14ac:dyDescent="0.3">
      <c r="A872">
        <v>71</v>
      </c>
      <c r="B872">
        <v>160</v>
      </c>
      <c r="C872">
        <v>302</v>
      </c>
      <c r="D872">
        <v>0</v>
      </c>
      <c r="E872">
        <v>162</v>
      </c>
      <c r="F872">
        <v>0.4</v>
      </c>
      <c r="G872">
        <v>0</v>
      </c>
    </row>
    <row r="873" spans="1:7" x14ac:dyDescent="0.3">
      <c r="A873">
        <v>61</v>
      </c>
      <c r="B873">
        <v>150</v>
      </c>
      <c r="C873">
        <v>243</v>
      </c>
      <c r="D873">
        <v>1</v>
      </c>
      <c r="E873">
        <v>137</v>
      </c>
      <c r="F873">
        <v>1</v>
      </c>
      <c r="G873">
        <v>0</v>
      </c>
    </row>
    <row r="874" spans="1:7" x14ac:dyDescent="0.3">
      <c r="A874">
        <v>55</v>
      </c>
      <c r="B874">
        <v>132</v>
      </c>
      <c r="C874">
        <v>353</v>
      </c>
      <c r="D874">
        <v>0</v>
      </c>
      <c r="E874">
        <v>132</v>
      </c>
      <c r="F874">
        <v>1.2</v>
      </c>
      <c r="G874">
        <v>1</v>
      </c>
    </row>
    <row r="875" spans="1:7" x14ac:dyDescent="0.3">
      <c r="A875">
        <v>64</v>
      </c>
      <c r="B875">
        <v>140</v>
      </c>
      <c r="C875">
        <v>335</v>
      </c>
      <c r="D875">
        <v>0</v>
      </c>
      <c r="E875">
        <v>158</v>
      </c>
      <c r="F875">
        <v>0</v>
      </c>
      <c r="G875">
        <v>1</v>
      </c>
    </row>
    <row r="876" spans="1:7" x14ac:dyDescent="0.3">
      <c r="A876">
        <v>43</v>
      </c>
      <c r="B876">
        <v>150</v>
      </c>
      <c r="C876">
        <v>247</v>
      </c>
      <c r="D876">
        <v>0</v>
      </c>
      <c r="E876">
        <v>171</v>
      </c>
      <c r="F876">
        <v>1.5</v>
      </c>
      <c r="G876">
        <v>0</v>
      </c>
    </row>
    <row r="877" spans="1:7" x14ac:dyDescent="0.3">
      <c r="A877">
        <v>58</v>
      </c>
      <c r="B877">
        <v>120</v>
      </c>
      <c r="C877">
        <v>340</v>
      </c>
      <c r="D877">
        <v>0</v>
      </c>
      <c r="E877">
        <v>172</v>
      </c>
      <c r="F877">
        <v>0</v>
      </c>
      <c r="G877">
        <v>0</v>
      </c>
    </row>
    <row r="878" spans="1:7" x14ac:dyDescent="0.3">
      <c r="A878">
        <v>60</v>
      </c>
      <c r="B878">
        <v>130</v>
      </c>
      <c r="C878">
        <v>206</v>
      </c>
      <c r="D878">
        <v>0</v>
      </c>
      <c r="E878">
        <v>132</v>
      </c>
      <c r="F878">
        <v>2.4</v>
      </c>
      <c r="G878">
        <v>1</v>
      </c>
    </row>
    <row r="879" spans="1:7" x14ac:dyDescent="0.3">
      <c r="A879">
        <v>58</v>
      </c>
      <c r="B879">
        <v>120</v>
      </c>
      <c r="C879">
        <v>284</v>
      </c>
      <c r="D879">
        <v>0</v>
      </c>
      <c r="E879">
        <v>160</v>
      </c>
      <c r="F879">
        <v>1.8</v>
      </c>
      <c r="G879">
        <v>1</v>
      </c>
    </row>
    <row r="880" spans="1:7" x14ac:dyDescent="0.3">
      <c r="A880">
        <v>49</v>
      </c>
      <c r="B880">
        <v>130</v>
      </c>
      <c r="C880">
        <v>266</v>
      </c>
      <c r="D880">
        <v>0</v>
      </c>
      <c r="E880">
        <v>171</v>
      </c>
      <c r="F880">
        <v>0.6</v>
      </c>
      <c r="G880">
        <v>0</v>
      </c>
    </row>
    <row r="881" spans="1:7" x14ac:dyDescent="0.3">
      <c r="A881">
        <v>48</v>
      </c>
      <c r="B881">
        <v>110</v>
      </c>
      <c r="C881">
        <v>229</v>
      </c>
      <c r="D881">
        <v>0</v>
      </c>
      <c r="E881">
        <v>168</v>
      </c>
      <c r="F881">
        <v>1</v>
      </c>
      <c r="G881">
        <v>1</v>
      </c>
    </row>
    <row r="882" spans="1:7" x14ac:dyDescent="0.3">
      <c r="A882">
        <v>52</v>
      </c>
      <c r="B882">
        <v>172</v>
      </c>
      <c r="C882">
        <v>199</v>
      </c>
      <c r="D882">
        <v>1</v>
      </c>
      <c r="E882">
        <v>162</v>
      </c>
      <c r="F882">
        <v>0.5</v>
      </c>
      <c r="G882">
        <v>0</v>
      </c>
    </row>
    <row r="883" spans="1:7" x14ac:dyDescent="0.3">
      <c r="A883">
        <v>44</v>
      </c>
      <c r="B883">
        <v>120</v>
      </c>
      <c r="C883">
        <v>263</v>
      </c>
      <c r="D883">
        <v>0</v>
      </c>
      <c r="E883">
        <v>173</v>
      </c>
      <c r="F883">
        <v>0</v>
      </c>
      <c r="G883">
        <v>0</v>
      </c>
    </row>
    <row r="884" spans="1:7" x14ac:dyDescent="0.3">
      <c r="A884">
        <v>56</v>
      </c>
      <c r="B884">
        <v>140</v>
      </c>
      <c r="C884">
        <v>294</v>
      </c>
      <c r="D884">
        <v>0</v>
      </c>
      <c r="E884">
        <v>153</v>
      </c>
      <c r="F884">
        <v>1.3</v>
      </c>
      <c r="G884">
        <v>0</v>
      </c>
    </row>
    <row r="885" spans="1:7" x14ac:dyDescent="0.3">
      <c r="A885">
        <v>57</v>
      </c>
      <c r="B885">
        <v>140</v>
      </c>
      <c r="C885">
        <v>192</v>
      </c>
      <c r="D885">
        <v>0</v>
      </c>
      <c r="E885">
        <v>148</v>
      </c>
      <c r="F885">
        <v>0.4</v>
      </c>
      <c r="G885">
        <v>0</v>
      </c>
    </row>
    <row r="886" spans="1:7" x14ac:dyDescent="0.3">
      <c r="A886">
        <v>67</v>
      </c>
      <c r="B886">
        <v>160</v>
      </c>
      <c r="C886">
        <v>286</v>
      </c>
      <c r="D886">
        <v>0</v>
      </c>
      <c r="E886">
        <v>108</v>
      </c>
      <c r="F886">
        <v>1.5</v>
      </c>
      <c r="G886">
        <v>1</v>
      </c>
    </row>
    <row r="887" spans="1:7" x14ac:dyDescent="0.3">
      <c r="A887">
        <v>53</v>
      </c>
      <c r="B887">
        <v>128</v>
      </c>
      <c r="C887">
        <v>216</v>
      </c>
      <c r="D887">
        <v>0</v>
      </c>
      <c r="E887">
        <v>115</v>
      </c>
      <c r="F887">
        <v>0</v>
      </c>
      <c r="G887">
        <v>0</v>
      </c>
    </row>
    <row r="888" spans="1:7" x14ac:dyDescent="0.3">
      <c r="A888">
        <v>52</v>
      </c>
      <c r="B888">
        <v>138</v>
      </c>
      <c r="C888">
        <v>223</v>
      </c>
      <c r="D888">
        <v>0</v>
      </c>
      <c r="E888">
        <v>169</v>
      </c>
      <c r="F888">
        <v>0</v>
      </c>
      <c r="G888">
        <v>0</v>
      </c>
    </row>
    <row r="889" spans="1:7" x14ac:dyDescent="0.3">
      <c r="A889">
        <v>43</v>
      </c>
      <c r="B889">
        <v>132</v>
      </c>
      <c r="C889">
        <v>247</v>
      </c>
      <c r="D889">
        <v>1</v>
      </c>
      <c r="E889">
        <v>143</v>
      </c>
      <c r="F889">
        <v>0.1</v>
      </c>
      <c r="G889">
        <v>1</v>
      </c>
    </row>
    <row r="890" spans="1:7" x14ac:dyDescent="0.3">
      <c r="A890">
        <v>52</v>
      </c>
      <c r="B890">
        <v>128</v>
      </c>
      <c r="C890">
        <v>204</v>
      </c>
      <c r="D890">
        <v>1</v>
      </c>
      <c r="E890">
        <v>156</v>
      </c>
      <c r="F890">
        <v>1</v>
      </c>
      <c r="G890">
        <v>1</v>
      </c>
    </row>
    <row r="891" spans="1:7" x14ac:dyDescent="0.3">
      <c r="A891">
        <v>59</v>
      </c>
      <c r="B891">
        <v>134</v>
      </c>
      <c r="C891">
        <v>204</v>
      </c>
      <c r="D891">
        <v>0</v>
      </c>
      <c r="E891">
        <v>162</v>
      </c>
      <c r="F891">
        <v>0.8</v>
      </c>
      <c r="G891">
        <v>1</v>
      </c>
    </row>
    <row r="892" spans="1:7" x14ac:dyDescent="0.3">
      <c r="A892">
        <v>64</v>
      </c>
      <c r="B892">
        <v>170</v>
      </c>
      <c r="C892">
        <v>227</v>
      </c>
      <c r="D892">
        <v>0</v>
      </c>
      <c r="E892">
        <v>155</v>
      </c>
      <c r="F892">
        <v>0.6</v>
      </c>
      <c r="G892">
        <v>0</v>
      </c>
    </row>
    <row r="893" spans="1:7" x14ac:dyDescent="0.3">
      <c r="A893">
        <v>66</v>
      </c>
      <c r="B893">
        <v>146</v>
      </c>
      <c r="C893">
        <v>278</v>
      </c>
      <c r="D893">
        <v>0</v>
      </c>
      <c r="E893">
        <v>152</v>
      </c>
      <c r="F893">
        <v>0</v>
      </c>
      <c r="G893">
        <v>0</v>
      </c>
    </row>
    <row r="894" spans="1:7" x14ac:dyDescent="0.3">
      <c r="A894">
        <v>39</v>
      </c>
      <c r="B894">
        <v>138</v>
      </c>
      <c r="C894">
        <v>220</v>
      </c>
      <c r="D894">
        <v>0</v>
      </c>
      <c r="E894">
        <v>152</v>
      </c>
      <c r="F894">
        <v>0</v>
      </c>
      <c r="G894">
        <v>0</v>
      </c>
    </row>
    <row r="895" spans="1:7" x14ac:dyDescent="0.3">
      <c r="A895">
        <v>57</v>
      </c>
      <c r="B895">
        <v>154</v>
      </c>
      <c r="C895">
        <v>232</v>
      </c>
      <c r="D895">
        <v>0</v>
      </c>
      <c r="E895">
        <v>164</v>
      </c>
      <c r="F895">
        <v>0</v>
      </c>
      <c r="G895">
        <v>1</v>
      </c>
    </row>
    <row r="896" spans="1:7" x14ac:dyDescent="0.3">
      <c r="A896">
        <v>58</v>
      </c>
      <c r="B896">
        <v>130</v>
      </c>
      <c r="C896">
        <v>197</v>
      </c>
      <c r="D896">
        <v>0</v>
      </c>
      <c r="E896">
        <v>131</v>
      </c>
      <c r="F896">
        <v>0.6</v>
      </c>
      <c r="G896">
        <v>0</v>
      </c>
    </row>
    <row r="897" spans="1:7" x14ac:dyDescent="0.3">
      <c r="A897">
        <v>57</v>
      </c>
      <c r="B897">
        <v>110</v>
      </c>
      <c r="C897">
        <v>335</v>
      </c>
      <c r="D897">
        <v>0</v>
      </c>
      <c r="E897">
        <v>143</v>
      </c>
      <c r="F897">
        <v>3</v>
      </c>
      <c r="G897">
        <v>1</v>
      </c>
    </row>
    <row r="898" spans="1:7" x14ac:dyDescent="0.3">
      <c r="A898">
        <v>47</v>
      </c>
      <c r="B898">
        <v>130</v>
      </c>
      <c r="C898">
        <v>253</v>
      </c>
      <c r="D898">
        <v>0</v>
      </c>
      <c r="E898">
        <v>179</v>
      </c>
      <c r="F898">
        <v>0</v>
      </c>
      <c r="G898">
        <v>0</v>
      </c>
    </row>
    <row r="899" spans="1:7" x14ac:dyDescent="0.3">
      <c r="A899">
        <v>55</v>
      </c>
      <c r="B899">
        <v>128</v>
      </c>
      <c r="C899">
        <v>205</v>
      </c>
      <c r="D899">
        <v>0</v>
      </c>
      <c r="E899">
        <v>130</v>
      </c>
      <c r="F899">
        <v>2</v>
      </c>
      <c r="G899">
        <v>1</v>
      </c>
    </row>
    <row r="900" spans="1:7" x14ac:dyDescent="0.3">
      <c r="A900">
        <v>35</v>
      </c>
      <c r="B900">
        <v>122</v>
      </c>
      <c r="C900">
        <v>192</v>
      </c>
      <c r="D900">
        <v>0</v>
      </c>
      <c r="E900">
        <v>174</v>
      </c>
      <c r="F900">
        <v>0</v>
      </c>
      <c r="G900">
        <v>0</v>
      </c>
    </row>
    <row r="901" spans="1:7" x14ac:dyDescent="0.3">
      <c r="A901">
        <v>61</v>
      </c>
      <c r="B901">
        <v>148</v>
      </c>
      <c r="C901">
        <v>203</v>
      </c>
      <c r="D901">
        <v>0</v>
      </c>
      <c r="E901">
        <v>161</v>
      </c>
      <c r="F901">
        <v>0</v>
      </c>
      <c r="G901">
        <v>1</v>
      </c>
    </row>
    <row r="902" spans="1:7" x14ac:dyDescent="0.3">
      <c r="A902">
        <v>58</v>
      </c>
      <c r="B902">
        <v>114</v>
      </c>
      <c r="C902">
        <v>318</v>
      </c>
      <c r="D902">
        <v>0</v>
      </c>
      <c r="E902">
        <v>140</v>
      </c>
      <c r="F902">
        <v>4.4000000000000004</v>
      </c>
      <c r="G902">
        <v>1</v>
      </c>
    </row>
    <row r="903" spans="1:7" x14ac:dyDescent="0.3">
      <c r="A903">
        <v>58</v>
      </c>
      <c r="B903">
        <v>170</v>
      </c>
      <c r="C903">
        <v>225</v>
      </c>
      <c r="D903">
        <v>1</v>
      </c>
      <c r="E903">
        <v>146</v>
      </c>
      <c r="F903">
        <v>2.8</v>
      </c>
      <c r="G903">
        <v>1</v>
      </c>
    </row>
    <row r="904" spans="1:7" x14ac:dyDescent="0.3">
      <c r="A904">
        <v>58</v>
      </c>
      <c r="B904">
        <v>125</v>
      </c>
      <c r="C904">
        <v>220</v>
      </c>
      <c r="D904">
        <v>0</v>
      </c>
      <c r="E904">
        <v>144</v>
      </c>
      <c r="F904">
        <v>0.4</v>
      </c>
      <c r="G904">
        <v>0</v>
      </c>
    </row>
    <row r="905" spans="1:7" x14ac:dyDescent="0.3">
      <c r="A905">
        <v>56</v>
      </c>
      <c r="B905">
        <v>130</v>
      </c>
      <c r="C905">
        <v>221</v>
      </c>
      <c r="D905">
        <v>0</v>
      </c>
      <c r="E905">
        <v>163</v>
      </c>
      <c r="F905">
        <v>0</v>
      </c>
      <c r="G905">
        <v>0</v>
      </c>
    </row>
    <row r="906" spans="1:7" x14ac:dyDescent="0.3">
      <c r="A906">
        <v>56</v>
      </c>
      <c r="B906">
        <v>120</v>
      </c>
      <c r="C906">
        <v>240</v>
      </c>
      <c r="D906">
        <v>0</v>
      </c>
      <c r="E906">
        <v>169</v>
      </c>
      <c r="F906">
        <v>0</v>
      </c>
      <c r="G906">
        <v>0</v>
      </c>
    </row>
    <row r="907" spans="1:7" x14ac:dyDescent="0.3">
      <c r="A907">
        <v>67</v>
      </c>
      <c r="B907">
        <v>152</v>
      </c>
      <c r="C907">
        <v>212</v>
      </c>
      <c r="D907">
        <v>0</v>
      </c>
      <c r="E907">
        <v>150</v>
      </c>
      <c r="F907">
        <v>0.8</v>
      </c>
      <c r="G907">
        <v>1</v>
      </c>
    </row>
    <row r="908" spans="1:7" x14ac:dyDescent="0.3">
      <c r="A908">
        <v>55</v>
      </c>
      <c r="B908">
        <v>132</v>
      </c>
      <c r="C908">
        <v>342</v>
      </c>
      <c r="D908">
        <v>0</v>
      </c>
      <c r="E908">
        <v>166</v>
      </c>
      <c r="F908">
        <v>1.2</v>
      </c>
      <c r="G908">
        <v>0</v>
      </c>
    </row>
    <row r="909" spans="1:7" x14ac:dyDescent="0.3">
      <c r="A909">
        <v>44</v>
      </c>
      <c r="B909">
        <v>120</v>
      </c>
      <c r="C909">
        <v>169</v>
      </c>
      <c r="D909">
        <v>0</v>
      </c>
      <c r="E909">
        <v>144</v>
      </c>
      <c r="F909">
        <v>2.8</v>
      </c>
      <c r="G909">
        <v>1</v>
      </c>
    </row>
    <row r="910" spans="1:7" x14ac:dyDescent="0.3">
      <c r="A910">
        <v>63</v>
      </c>
      <c r="B910">
        <v>140</v>
      </c>
      <c r="C910">
        <v>187</v>
      </c>
      <c r="D910">
        <v>0</v>
      </c>
      <c r="E910">
        <v>144</v>
      </c>
      <c r="F910">
        <v>4</v>
      </c>
      <c r="G910">
        <v>1</v>
      </c>
    </row>
    <row r="911" spans="1:7" x14ac:dyDescent="0.3">
      <c r="A911">
        <v>63</v>
      </c>
      <c r="B911">
        <v>124</v>
      </c>
      <c r="C911">
        <v>197</v>
      </c>
      <c r="D911">
        <v>0</v>
      </c>
      <c r="E911">
        <v>136</v>
      </c>
      <c r="F911">
        <v>0</v>
      </c>
      <c r="G911">
        <v>1</v>
      </c>
    </row>
    <row r="912" spans="1:7" x14ac:dyDescent="0.3">
      <c r="A912">
        <v>41</v>
      </c>
      <c r="B912">
        <v>120</v>
      </c>
      <c r="C912">
        <v>157</v>
      </c>
      <c r="D912">
        <v>0</v>
      </c>
      <c r="E912">
        <v>182</v>
      </c>
      <c r="F912">
        <v>0</v>
      </c>
      <c r="G912">
        <v>0</v>
      </c>
    </row>
    <row r="913" spans="1:7" x14ac:dyDescent="0.3">
      <c r="A913">
        <v>59</v>
      </c>
      <c r="B913">
        <v>164</v>
      </c>
      <c r="C913">
        <v>176</v>
      </c>
      <c r="D913">
        <v>1</v>
      </c>
      <c r="E913">
        <v>90</v>
      </c>
      <c r="F913">
        <v>1</v>
      </c>
      <c r="G913">
        <v>1</v>
      </c>
    </row>
    <row r="914" spans="1:7" x14ac:dyDescent="0.3">
      <c r="A914">
        <v>57</v>
      </c>
      <c r="B914">
        <v>140</v>
      </c>
      <c r="C914">
        <v>241</v>
      </c>
      <c r="D914">
        <v>0</v>
      </c>
      <c r="E914">
        <v>123</v>
      </c>
      <c r="F914">
        <v>0.2</v>
      </c>
      <c r="G914">
        <v>1</v>
      </c>
    </row>
    <row r="915" spans="1:7" x14ac:dyDescent="0.3">
      <c r="A915">
        <v>45</v>
      </c>
      <c r="B915">
        <v>110</v>
      </c>
      <c r="C915">
        <v>264</v>
      </c>
      <c r="D915">
        <v>0</v>
      </c>
      <c r="E915">
        <v>132</v>
      </c>
      <c r="F915">
        <v>1.2</v>
      </c>
      <c r="G915">
        <v>1</v>
      </c>
    </row>
    <row r="916" spans="1:7" x14ac:dyDescent="0.3">
      <c r="A916">
        <v>68</v>
      </c>
      <c r="B916">
        <v>144</v>
      </c>
      <c r="C916">
        <v>193</v>
      </c>
      <c r="D916">
        <v>1</v>
      </c>
      <c r="E916">
        <v>141</v>
      </c>
      <c r="F916">
        <v>3.4</v>
      </c>
      <c r="G916">
        <v>1</v>
      </c>
    </row>
    <row r="917" spans="1:7" x14ac:dyDescent="0.3">
      <c r="A917">
        <v>57</v>
      </c>
      <c r="B917">
        <v>130</v>
      </c>
      <c r="C917">
        <v>131</v>
      </c>
      <c r="D917">
        <v>0</v>
      </c>
      <c r="E917">
        <v>115</v>
      </c>
      <c r="F917">
        <v>1.2</v>
      </c>
      <c r="G917">
        <v>1</v>
      </c>
    </row>
    <row r="918" spans="1:7" x14ac:dyDescent="0.3">
      <c r="A918">
        <v>57</v>
      </c>
      <c r="B918">
        <v>130</v>
      </c>
      <c r="C918">
        <v>236</v>
      </c>
      <c r="D918">
        <v>0</v>
      </c>
      <c r="E918">
        <v>174</v>
      </c>
      <c r="F918">
        <v>0</v>
      </c>
      <c r="G918">
        <v>1</v>
      </c>
    </row>
    <row r="919" spans="1:7" x14ac:dyDescent="0.3">
      <c r="A919">
        <v>38</v>
      </c>
      <c r="B919">
        <v>138</v>
      </c>
      <c r="C919">
        <v>175</v>
      </c>
      <c r="D919">
        <v>0</v>
      </c>
      <c r="E919">
        <v>173</v>
      </c>
      <c r="F919">
        <v>0</v>
      </c>
      <c r="G919">
        <v>0</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C8DB76-B0C6-4E87-9782-29FD4EAB9463}">
  <dimension ref="A1:H8"/>
  <sheetViews>
    <sheetView workbookViewId="0">
      <selection activeCell="F3" sqref="F3"/>
    </sheetView>
  </sheetViews>
  <sheetFormatPr defaultRowHeight="14.4" x14ac:dyDescent="0.3"/>
  <cols>
    <col min="1" max="1" width="11.77734375" customWidth="1"/>
    <col min="2" max="6" width="12.6640625" customWidth="1"/>
    <col min="7" max="7" width="12" customWidth="1"/>
    <col min="8" max="8" width="14.21875" customWidth="1"/>
  </cols>
  <sheetData>
    <row r="1" spans="1:8" x14ac:dyDescent="0.3">
      <c r="A1" s="1" t="s">
        <v>62</v>
      </c>
      <c r="B1" s="1" t="s">
        <v>0</v>
      </c>
      <c r="C1" s="1" t="s">
        <v>3</v>
      </c>
      <c r="D1" s="1" t="s">
        <v>4</v>
      </c>
      <c r="E1" s="1" t="s">
        <v>5</v>
      </c>
      <c r="F1" s="1" t="s">
        <v>7</v>
      </c>
      <c r="G1" s="1" t="s">
        <v>9</v>
      </c>
      <c r="H1" s="1" t="s">
        <v>11</v>
      </c>
    </row>
    <row r="2" spans="1:8" x14ac:dyDescent="0.3">
      <c r="A2" t="s">
        <v>0</v>
      </c>
      <c r="B2" s="2">
        <v>1</v>
      </c>
    </row>
    <row r="3" spans="1:8" x14ac:dyDescent="0.3">
      <c r="A3" t="s">
        <v>3</v>
      </c>
      <c r="B3">
        <v>0.25439935615154452</v>
      </c>
      <c r="C3">
        <v>1</v>
      </c>
    </row>
    <row r="4" spans="1:8" x14ac:dyDescent="0.3">
      <c r="A4" t="s">
        <v>4</v>
      </c>
      <c r="B4">
        <v>-9.5281771181219249E-2</v>
      </c>
      <c r="C4">
        <v>0.1008929420770919</v>
      </c>
      <c r="D4">
        <v>1</v>
      </c>
    </row>
    <row r="5" spans="1:8" x14ac:dyDescent="0.3">
      <c r="A5" t="s">
        <v>5</v>
      </c>
      <c r="B5">
        <v>0.19803906586674447</v>
      </c>
      <c r="C5">
        <v>7.0193335709924198E-2</v>
      </c>
      <c r="D5">
        <v>-0.26097432776576418</v>
      </c>
      <c r="E5">
        <v>1</v>
      </c>
    </row>
    <row r="6" spans="1:8" x14ac:dyDescent="0.3">
      <c r="A6" t="s">
        <v>7</v>
      </c>
      <c r="B6">
        <v>-0.38204467503197037</v>
      </c>
      <c r="C6">
        <v>-0.11213499711297986</v>
      </c>
      <c r="D6">
        <v>0.23579240300238538</v>
      </c>
      <c r="E6">
        <v>-0.13143849139344049</v>
      </c>
      <c r="F6">
        <v>1</v>
      </c>
    </row>
    <row r="7" spans="1:8" x14ac:dyDescent="0.3">
      <c r="A7" t="s">
        <v>9</v>
      </c>
      <c r="B7">
        <v>0.25861153601875747</v>
      </c>
      <c r="C7">
        <v>0.16480304317138916</v>
      </c>
      <c r="D7">
        <v>5.0148109140804177E-2</v>
      </c>
      <c r="E7">
        <v>5.2697860287321069E-2</v>
      </c>
      <c r="F7">
        <v>-0.16069055004992475</v>
      </c>
      <c r="G7">
        <v>1</v>
      </c>
    </row>
    <row r="8" spans="1:8" x14ac:dyDescent="0.3">
      <c r="A8" t="s">
        <v>11</v>
      </c>
      <c r="B8">
        <v>0.28203850581899675</v>
      </c>
      <c r="C8">
        <v>0.10758898037140337</v>
      </c>
      <c r="D8">
        <v>-0.23274063892701058</v>
      </c>
      <c r="E8">
        <v>0.26729118611030078</v>
      </c>
      <c r="F8">
        <v>-0.400420769463189</v>
      </c>
      <c r="G8">
        <v>0.40395072206288496</v>
      </c>
      <c r="H8">
        <v>1</v>
      </c>
    </row>
  </sheetData>
  <conditionalFormatting sqref="B2:H8">
    <cfRule type="colorScale" priority="1">
      <colorScale>
        <cfvo type="min"/>
        <cfvo type="percentile" val="50"/>
        <cfvo type="max"/>
        <color rgb="FF63BE7B"/>
        <color rgb="FFFCFCFF"/>
        <color rgb="FFF8696B"/>
      </colorScale>
    </cfRule>
  </conditionalFormatting>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19B24E-4ACC-49C1-9C8E-37321D6445C9}">
  <dimension ref="A3:I24"/>
  <sheetViews>
    <sheetView workbookViewId="0">
      <selection activeCell="N9" sqref="N9"/>
    </sheetView>
  </sheetViews>
  <sheetFormatPr defaultRowHeight="14.4" x14ac:dyDescent="0.3"/>
  <cols>
    <col min="1" max="1" width="13.5546875" bestFit="1" customWidth="1"/>
    <col min="2" max="2" width="22.109375" bestFit="1" customWidth="1"/>
    <col min="3" max="3" width="4.6640625" bestFit="1" customWidth="1"/>
    <col min="4" max="4" width="22.109375" bestFit="1" customWidth="1"/>
    <col min="5" max="5" width="16.77734375" bestFit="1" customWidth="1"/>
    <col min="6" max="6" width="4.6640625" bestFit="1" customWidth="1"/>
    <col min="7" max="7" width="12" bestFit="1" customWidth="1"/>
    <col min="8" max="8" width="4.6640625" bestFit="1" customWidth="1"/>
    <col min="9" max="9" width="12" bestFit="1" customWidth="1"/>
    <col min="10" max="10" width="10.77734375" customWidth="1"/>
  </cols>
  <sheetData>
    <row r="3" spans="1:9" ht="27" customHeight="1" x14ac:dyDescent="0.35">
      <c r="A3" s="5" t="s">
        <v>68</v>
      </c>
      <c r="D3" s="5" t="s">
        <v>69</v>
      </c>
    </row>
    <row r="4" spans="1:9" x14ac:dyDescent="0.3">
      <c r="A4" s="3" t="s">
        <v>63</v>
      </c>
      <c r="B4" t="s">
        <v>65</v>
      </c>
      <c r="D4" s="3" t="s">
        <v>65</v>
      </c>
      <c r="E4" s="3" t="s">
        <v>66</v>
      </c>
    </row>
    <row r="5" spans="1:9" x14ac:dyDescent="0.3">
      <c r="A5" s="4">
        <v>0</v>
      </c>
      <c r="B5" s="17">
        <v>410</v>
      </c>
      <c r="D5" s="3" t="s">
        <v>63</v>
      </c>
      <c r="E5">
        <v>0</v>
      </c>
      <c r="F5">
        <v>1</v>
      </c>
      <c r="G5" t="s">
        <v>64</v>
      </c>
    </row>
    <row r="6" spans="1:9" x14ac:dyDescent="0.3">
      <c r="A6" s="4">
        <v>1</v>
      </c>
      <c r="B6" s="17">
        <v>508</v>
      </c>
      <c r="D6" s="4" t="s">
        <v>17</v>
      </c>
      <c r="E6" s="17">
        <v>143</v>
      </c>
      <c r="F6" s="17">
        <v>50</v>
      </c>
      <c r="G6" s="17">
        <v>193</v>
      </c>
    </row>
    <row r="7" spans="1:9" x14ac:dyDescent="0.3">
      <c r="A7" s="4" t="s">
        <v>64</v>
      </c>
      <c r="B7" s="17">
        <v>918</v>
      </c>
      <c r="D7" s="4" t="s">
        <v>12</v>
      </c>
      <c r="E7" s="17">
        <v>267</v>
      </c>
      <c r="F7" s="17">
        <v>458</v>
      </c>
      <c r="G7" s="17">
        <v>725</v>
      </c>
    </row>
    <row r="8" spans="1:9" x14ac:dyDescent="0.3">
      <c r="D8" s="4" t="s">
        <v>64</v>
      </c>
      <c r="E8" s="17">
        <v>410</v>
      </c>
      <c r="F8" s="17">
        <v>508</v>
      </c>
      <c r="G8" s="17">
        <v>918</v>
      </c>
    </row>
    <row r="10" spans="1:9" ht="16.2" x14ac:dyDescent="0.35">
      <c r="A10" s="5" t="s">
        <v>71</v>
      </c>
      <c r="F10" s="5" t="s">
        <v>70</v>
      </c>
    </row>
    <row r="11" spans="1:9" x14ac:dyDescent="0.3">
      <c r="A11" s="3" t="s">
        <v>65</v>
      </c>
      <c r="B11" s="3" t="s">
        <v>66</v>
      </c>
      <c r="F11" s="3" t="s">
        <v>65</v>
      </c>
      <c r="G11" s="3" t="s">
        <v>66</v>
      </c>
    </row>
    <row r="12" spans="1:9" x14ac:dyDescent="0.3">
      <c r="A12" s="3" t="s">
        <v>63</v>
      </c>
      <c r="B12">
        <v>0</v>
      </c>
      <c r="C12">
        <v>1</v>
      </c>
      <c r="D12" t="s">
        <v>64</v>
      </c>
      <c r="F12" s="3" t="s">
        <v>63</v>
      </c>
      <c r="G12">
        <v>0</v>
      </c>
      <c r="H12">
        <v>1</v>
      </c>
      <c r="I12" t="s">
        <v>64</v>
      </c>
    </row>
    <row r="13" spans="1:9" x14ac:dyDescent="0.3">
      <c r="A13" s="4" t="s">
        <v>15</v>
      </c>
      <c r="B13" s="17">
        <v>355</v>
      </c>
      <c r="C13" s="17">
        <v>192</v>
      </c>
      <c r="D13" s="17">
        <v>547</v>
      </c>
      <c r="F13" s="4" t="s">
        <v>37</v>
      </c>
      <c r="G13" s="17">
        <v>4</v>
      </c>
      <c r="H13" s="17"/>
      <c r="I13" s="17">
        <v>4</v>
      </c>
    </row>
    <row r="14" spans="1:9" x14ac:dyDescent="0.3">
      <c r="A14" s="4" t="s">
        <v>22</v>
      </c>
      <c r="B14" s="17">
        <v>55</v>
      </c>
      <c r="C14" s="17">
        <v>316</v>
      </c>
      <c r="D14" s="17">
        <v>371</v>
      </c>
      <c r="F14" s="4" t="s">
        <v>38</v>
      </c>
      <c r="G14" s="17">
        <v>50</v>
      </c>
      <c r="H14" s="17">
        <v>26</v>
      </c>
      <c r="I14" s="17">
        <v>76</v>
      </c>
    </row>
    <row r="15" spans="1:9" x14ac:dyDescent="0.3">
      <c r="A15" s="4" t="s">
        <v>64</v>
      </c>
      <c r="B15" s="17">
        <v>410</v>
      </c>
      <c r="C15" s="17">
        <v>508</v>
      </c>
      <c r="D15" s="17">
        <v>918</v>
      </c>
      <c r="F15" s="4" t="s">
        <v>39</v>
      </c>
      <c r="G15" s="17">
        <v>126</v>
      </c>
      <c r="H15" s="17">
        <v>85</v>
      </c>
      <c r="I15" s="17">
        <v>211</v>
      </c>
    </row>
    <row r="16" spans="1:9" x14ac:dyDescent="0.3">
      <c r="F16" s="4" t="s">
        <v>40</v>
      </c>
      <c r="G16" s="17">
        <v>162</v>
      </c>
      <c r="H16" s="17">
        <v>212</v>
      </c>
      <c r="I16" s="17">
        <v>374</v>
      </c>
    </row>
    <row r="17" spans="1:9" x14ac:dyDescent="0.3">
      <c r="F17" s="4" t="s">
        <v>41</v>
      </c>
      <c r="G17" s="17">
        <v>59</v>
      </c>
      <c r="H17" s="17">
        <v>163</v>
      </c>
      <c r="I17" s="17">
        <v>222</v>
      </c>
    </row>
    <row r="18" spans="1:9" x14ac:dyDescent="0.3">
      <c r="F18" s="4" t="s">
        <v>67</v>
      </c>
      <c r="G18" s="17">
        <v>9</v>
      </c>
      <c r="H18" s="17">
        <v>22</v>
      </c>
      <c r="I18" s="17">
        <v>31</v>
      </c>
    </row>
    <row r="19" spans="1:9" x14ac:dyDescent="0.3">
      <c r="F19" s="4" t="s">
        <v>64</v>
      </c>
      <c r="G19" s="17">
        <v>410</v>
      </c>
      <c r="H19" s="17">
        <v>508</v>
      </c>
      <c r="I19" s="17">
        <v>918</v>
      </c>
    </row>
    <row r="21" spans="1:9" x14ac:dyDescent="0.3">
      <c r="A21" s="3" t="s">
        <v>63</v>
      </c>
      <c r="B21" t="s">
        <v>65</v>
      </c>
      <c r="D21" s="6">
        <f>B23/B24</f>
        <v>0.55337690631808278</v>
      </c>
    </row>
    <row r="22" spans="1:9" x14ac:dyDescent="0.3">
      <c r="A22" s="4">
        <v>0</v>
      </c>
      <c r="B22" s="17">
        <v>410</v>
      </c>
      <c r="E22">
        <f>GETPIVOTDATA("HeartDisease",$A$21,"HeartDisease",1)</f>
        <v>508</v>
      </c>
    </row>
    <row r="23" spans="1:9" x14ac:dyDescent="0.3">
      <c r="A23" s="4">
        <v>1</v>
      </c>
      <c r="B23" s="17">
        <v>508</v>
      </c>
      <c r="D23">
        <f>GETPIVOTDATA("HeartDisease",$A$21)</f>
        <v>918</v>
      </c>
    </row>
    <row r="24" spans="1:9" x14ac:dyDescent="0.3">
      <c r="A24" s="4" t="s">
        <v>64</v>
      </c>
      <c r="B24" s="17">
        <v>918</v>
      </c>
      <c r="E24">
        <f>GETPIVOTDATA("HeartDisease",$A$21,"HeartDisease",0)</f>
        <v>410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1C3CF2-97FB-4213-8AAB-652E1371026E}">
  <dimension ref="T3:T30"/>
  <sheetViews>
    <sheetView showGridLines="0" workbookViewId="0">
      <selection activeCell="D13" sqref="D13"/>
    </sheetView>
  </sheetViews>
  <sheetFormatPr defaultRowHeight="14.4" x14ac:dyDescent="0.3"/>
  <sheetData>
    <row r="3" ht="19.2" customHeight="1" x14ac:dyDescent="0.3"/>
    <row r="30" spans="20:20" x14ac:dyDescent="0.3">
      <c r="T30" t="s">
        <v>72</v>
      </c>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02B69B-F018-4A1C-A5F4-7C8CB9C635B3}">
  <dimension ref="A1:X33"/>
  <sheetViews>
    <sheetView showGridLines="0" tabSelected="1" zoomScale="80" zoomScaleNormal="80" workbookViewId="0">
      <selection activeCell="Z14" sqref="Z14"/>
    </sheetView>
  </sheetViews>
  <sheetFormatPr defaultRowHeight="14.4" x14ac:dyDescent="0.3"/>
  <cols>
    <col min="1" max="16384" width="8.88671875" style="2"/>
  </cols>
  <sheetData>
    <row r="1" spans="1:24" x14ac:dyDescent="0.3">
      <c r="A1" s="9"/>
      <c r="B1" s="10"/>
      <c r="C1" s="10"/>
      <c r="D1" s="10"/>
      <c r="E1" s="10"/>
      <c r="F1" s="10"/>
      <c r="G1" s="10"/>
      <c r="H1" s="10"/>
      <c r="I1" s="10"/>
      <c r="J1" s="10"/>
      <c r="K1" s="10"/>
      <c r="L1" s="10"/>
      <c r="M1" s="10"/>
      <c r="N1" s="10"/>
      <c r="O1" s="10"/>
      <c r="P1" s="10"/>
      <c r="Q1" s="10"/>
      <c r="R1" s="10"/>
      <c r="S1" s="10"/>
      <c r="T1" s="10"/>
      <c r="U1" s="10"/>
      <c r="V1" s="10"/>
      <c r="W1" s="10"/>
      <c r="X1" s="11"/>
    </row>
    <row r="2" spans="1:24" x14ac:dyDescent="0.3">
      <c r="A2" s="12"/>
      <c r="B2" s="7"/>
      <c r="C2" s="7"/>
      <c r="D2" s="7"/>
      <c r="E2" s="7"/>
      <c r="F2" s="7"/>
      <c r="G2" s="7"/>
      <c r="H2" s="7"/>
      <c r="I2" s="7"/>
      <c r="J2" s="7"/>
      <c r="K2" s="7"/>
      <c r="L2" s="7"/>
      <c r="M2" s="7"/>
      <c r="N2" s="7"/>
      <c r="O2" s="7"/>
      <c r="P2" s="7"/>
      <c r="Q2" s="7"/>
      <c r="R2" s="7"/>
      <c r="S2" s="7"/>
      <c r="T2" s="7"/>
      <c r="U2" s="7"/>
      <c r="V2" s="7"/>
      <c r="W2" s="7"/>
      <c r="X2" s="13"/>
    </row>
    <row r="3" spans="1:24" x14ac:dyDescent="0.3">
      <c r="A3" s="12"/>
      <c r="B3" s="7"/>
      <c r="C3" s="7"/>
      <c r="D3" s="7"/>
      <c r="E3" s="7"/>
      <c r="F3" s="7"/>
      <c r="G3" s="7"/>
      <c r="H3" s="7"/>
      <c r="I3" s="7"/>
      <c r="J3" s="7"/>
      <c r="K3" s="7"/>
      <c r="L3" s="7"/>
      <c r="M3" s="7"/>
      <c r="N3" s="7"/>
      <c r="O3" s="7"/>
      <c r="P3" s="7"/>
      <c r="Q3" s="7"/>
      <c r="R3" s="7"/>
      <c r="S3" s="7"/>
      <c r="T3" s="7"/>
      <c r="U3" s="7"/>
      <c r="V3" s="7"/>
      <c r="W3" s="7"/>
      <c r="X3" s="13"/>
    </row>
    <row r="4" spans="1:24" x14ac:dyDescent="0.3">
      <c r="A4" s="12"/>
      <c r="B4" s="7"/>
      <c r="C4" s="7"/>
      <c r="D4" s="7"/>
      <c r="E4" s="8"/>
      <c r="F4" s="7"/>
      <c r="G4" s="7"/>
      <c r="H4" s="7"/>
      <c r="I4" s="7"/>
      <c r="J4" s="7"/>
      <c r="K4" s="7"/>
      <c r="L4" s="7"/>
      <c r="M4" s="7"/>
      <c r="N4" s="7"/>
      <c r="O4" s="7"/>
      <c r="P4" s="7"/>
      <c r="Q4" s="7"/>
      <c r="R4" s="7"/>
      <c r="S4" s="7"/>
      <c r="T4" s="7"/>
      <c r="U4" s="7"/>
      <c r="V4" s="7"/>
      <c r="W4" s="7"/>
      <c r="X4" s="13"/>
    </row>
    <row r="5" spans="1:24" x14ac:dyDescent="0.3">
      <c r="A5" s="12"/>
      <c r="B5" s="7"/>
      <c r="C5" s="7"/>
      <c r="D5" s="7"/>
      <c r="E5" s="7"/>
      <c r="F5" s="7"/>
      <c r="G5" s="7"/>
      <c r="H5" s="7"/>
      <c r="I5" s="7"/>
      <c r="J5" s="7"/>
      <c r="K5" s="7"/>
      <c r="L5" s="7"/>
      <c r="M5" s="7"/>
      <c r="N5" s="7"/>
      <c r="O5" s="7"/>
      <c r="P5" s="7"/>
      <c r="Q5" s="7"/>
      <c r="R5" s="7"/>
      <c r="S5" s="7"/>
      <c r="T5" s="7"/>
      <c r="U5" s="7"/>
      <c r="V5" s="7"/>
      <c r="W5" s="7"/>
      <c r="X5" s="13"/>
    </row>
    <row r="6" spans="1:24" x14ac:dyDescent="0.3">
      <c r="A6" s="12"/>
      <c r="B6" s="7"/>
      <c r="C6" s="7"/>
      <c r="D6" s="7"/>
      <c r="E6" s="7"/>
      <c r="F6" s="7"/>
      <c r="G6" s="7"/>
      <c r="H6" s="7"/>
      <c r="I6" s="7"/>
      <c r="J6" s="7"/>
      <c r="K6" s="7"/>
      <c r="L6" s="7"/>
      <c r="M6" s="7"/>
      <c r="N6" s="7"/>
      <c r="O6" s="7"/>
      <c r="P6" s="7"/>
      <c r="Q6" s="7"/>
      <c r="R6" s="7"/>
      <c r="S6" s="7"/>
      <c r="T6" s="7"/>
      <c r="U6" s="7"/>
      <c r="V6" s="7"/>
      <c r="W6" s="7"/>
      <c r="X6" s="13"/>
    </row>
    <row r="7" spans="1:24" x14ac:dyDescent="0.3">
      <c r="A7" s="12"/>
      <c r="B7" s="7"/>
      <c r="C7" s="7"/>
      <c r="D7" s="7"/>
      <c r="E7" s="7"/>
      <c r="F7" s="7"/>
      <c r="G7" s="7"/>
      <c r="H7" s="7"/>
      <c r="I7" s="7"/>
      <c r="J7" s="7"/>
      <c r="K7" s="7"/>
      <c r="L7" s="7"/>
      <c r="M7" s="7"/>
      <c r="N7" s="7"/>
      <c r="O7" s="7"/>
      <c r="P7" s="7"/>
      <c r="Q7" s="7"/>
      <c r="R7" s="7"/>
      <c r="S7" s="7"/>
      <c r="T7" s="7"/>
      <c r="U7" s="7"/>
      <c r="V7" s="7"/>
      <c r="W7" s="7"/>
      <c r="X7" s="13"/>
    </row>
    <row r="8" spans="1:24" x14ac:dyDescent="0.3">
      <c r="A8" s="12"/>
      <c r="B8" s="7"/>
      <c r="C8" s="7"/>
      <c r="D8" s="7"/>
      <c r="E8" s="7"/>
      <c r="F8" s="7"/>
      <c r="G8" s="7"/>
      <c r="H8" s="7"/>
      <c r="I8" s="7"/>
      <c r="J8" s="7"/>
      <c r="K8" s="7"/>
      <c r="L8" s="7"/>
      <c r="M8" s="7"/>
      <c r="N8" s="7"/>
      <c r="O8" s="7"/>
      <c r="P8" s="7"/>
      <c r="Q8" s="7"/>
      <c r="R8" s="7"/>
      <c r="S8" s="7"/>
      <c r="T8" s="7"/>
      <c r="U8" s="7"/>
      <c r="V8" s="7"/>
      <c r="W8" s="7"/>
      <c r="X8" s="13"/>
    </row>
    <row r="9" spans="1:24" x14ac:dyDescent="0.3">
      <c r="A9" s="12"/>
      <c r="B9" s="7"/>
      <c r="C9" s="7"/>
      <c r="D9" s="7"/>
      <c r="E9" s="7"/>
      <c r="F9" s="7"/>
      <c r="G9" s="7"/>
      <c r="H9" s="7"/>
      <c r="I9" s="7"/>
      <c r="J9" s="7"/>
      <c r="K9" s="7"/>
      <c r="L9" s="7"/>
      <c r="M9" s="7"/>
      <c r="N9" s="7"/>
      <c r="O9" s="7"/>
      <c r="P9" s="7"/>
      <c r="Q9" s="7"/>
      <c r="R9" s="7"/>
      <c r="S9" s="7"/>
      <c r="T9" s="7"/>
      <c r="U9" s="7"/>
      <c r="V9" s="7"/>
      <c r="W9" s="7"/>
      <c r="X9" s="13"/>
    </row>
    <row r="10" spans="1:24" x14ac:dyDescent="0.3">
      <c r="A10" s="12"/>
      <c r="B10" s="7"/>
      <c r="C10" s="7"/>
      <c r="D10" s="7"/>
      <c r="E10" s="7"/>
      <c r="F10" s="7"/>
      <c r="G10" s="7"/>
      <c r="H10" s="7"/>
      <c r="I10" s="7"/>
      <c r="J10" s="7"/>
      <c r="K10" s="7"/>
      <c r="L10" s="7"/>
      <c r="M10" s="7"/>
      <c r="N10" s="7"/>
      <c r="O10" s="7"/>
      <c r="P10" s="7"/>
      <c r="Q10" s="7"/>
      <c r="R10" s="7"/>
      <c r="S10" s="7"/>
      <c r="T10" s="7"/>
      <c r="U10" s="7"/>
      <c r="V10" s="7"/>
      <c r="W10" s="7"/>
      <c r="X10" s="13"/>
    </row>
    <row r="11" spans="1:24" x14ac:dyDescent="0.3">
      <c r="A11" s="12"/>
      <c r="B11" s="7"/>
      <c r="C11" s="7"/>
      <c r="D11" s="7"/>
      <c r="E11" s="7"/>
      <c r="F11" s="7"/>
      <c r="G11" s="7"/>
      <c r="H11" s="7"/>
      <c r="I11" s="7"/>
      <c r="J11" s="7"/>
      <c r="K11" s="7"/>
      <c r="L11" s="7"/>
      <c r="M11" s="7"/>
      <c r="N11" s="7"/>
      <c r="O11" s="7"/>
      <c r="P11" s="7"/>
      <c r="Q11" s="7"/>
      <c r="R11" s="7"/>
      <c r="S11" s="7"/>
      <c r="T11" s="7"/>
      <c r="U11" s="7"/>
      <c r="V11" s="7"/>
      <c r="W11" s="7"/>
      <c r="X11" s="13"/>
    </row>
    <row r="12" spans="1:24" x14ac:dyDescent="0.3">
      <c r="A12" s="12"/>
      <c r="B12" s="7"/>
      <c r="C12" s="7"/>
      <c r="D12" s="7"/>
      <c r="E12" s="7"/>
      <c r="F12" s="7"/>
      <c r="G12" s="7"/>
      <c r="H12" s="7"/>
      <c r="I12" s="7"/>
      <c r="J12" s="7"/>
      <c r="K12" s="7"/>
      <c r="L12" s="7"/>
      <c r="M12" s="7"/>
      <c r="N12" s="7"/>
      <c r="O12" s="7"/>
      <c r="P12" s="7"/>
      <c r="Q12" s="7"/>
      <c r="R12" s="7"/>
      <c r="S12" s="7"/>
      <c r="T12" s="7"/>
      <c r="U12" s="7"/>
      <c r="V12" s="7"/>
      <c r="W12" s="7"/>
      <c r="X12" s="13"/>
    </row>
    <row r="13" spans="1:24" x14ac:dyDescent="0.3">
      <c r="A13" s="12"/>
      <c r="B13" s="7"/>
      <c r="C13" s="7"/>
      <c r="D13" s="7"/>
      <c r="E13" s="7"/>
      <c r="F13" s="7"/>
      <c r="G13" s="7"/>
      <c r="H13" s="7"/>
      <c r="I13" s="7"/>
      <c r="J13" s="7"/>
      <c r="K13" s="7"/>
      <c r="L13" s="7"/>
      <c r="M13" s="7"/>
      <c r="N13" s="7"/>
      <c r="O13" s="7"/>
      <c r="P13" s="7"/>
      <c r="Q13" s="7"/>
      <c r="R13" s="7"/>
      <c r="S13" s="7"/>
      <c r="T13" s="7"/>
      <c r="U13" s="7"/>
      <c r="V13" s="7"/>
      <c r="W13" s="7"/>
      <c r="X13" s="13"/>
    </row>
    <row r="14" spans="1:24" x14ac:dyDescent="0.3">
      <c r="A14" s="12"/>
      <c r="B14" s="7"/>
      <c r="C14" s="7"/>
      <c r="D14" s="7"/>
      <c r="E14" s="7"/>
      <c r="F14" s="7"/>
      <c r="G14" s="7"/>
      <c r="H14" s="7"/>
      <c r="I14" s="7"/>
      <c r="J14" s="7"/>
      <c r="K14" s="7"/>
      <c r="L14" s="7"/>
      <c r="M14" s="7"/>
      <c r="N14" s="7"/>
      <c r="O14" s="7"/>
      <c r="P14" s="7"/>
      <c r="Q14" s="7"/>
      <c r="R14" s="7"/>
      <c r="S14" s="7"/>
      <c r="T14" s="7"/>
      <c r="U14" s="7"/>
      <c r="V14" s="7"/>
      <c r="W14" s="7"/>
      <c r="X14" s="13"/>
    </row>
    <row r="15" spans="1:24" x14ac:dyDescent="0.3">
      <c r="A15" s="12"/>
      <c r="B15" s="7"/>
      <c r="C15" s="7"/>
      <c r="D15" s="7"/>
      <c r="E15" s="7"/>
      <c r="F15" s="7"/>
      <c r="G15" s="7"/>
      <c r="H15" s="7"/>
      <c r="I15" s="7"/>
      <c r="J15" s="7"/>
      <c r="K15" s="7"/>
      <c r="L15" s="7"/>
      <c r="M15" s="7"/>
      <c r="N15" s="7"/>
      <c r="O15" s="7"/>
      <c r="P15" s="7"/>
      <c r="Q15" s="7"/>
      <c r="R15" s="7"/>
      <c r="S15" s="7"/>
      <c r="T15" s="7"/>
      <c r="U15" s="7"/>
      <c r="V15" s="7"/>
      <c r="W15" s="7"/>
      <c r="X15" s="13"/>
    </row>
    <row r="16" spans="1:24" x14ac:dyDescent="0.3">
      <c r="A16" s="12"/>
      <c r="B16" s="7"/>
      <c r="C16" s="7"/>
      <c r="D16" s="7"/>
      <c r="E16" s="7"/>
      <c r="F16" s="7"/>
      <c r="G16" s="7"/>
      <c r="H16" s="7"/>
      <c r="I16" s="7"/>
      <c r="J16" s="7"/>
      <c r="K16" s="7"/>
      <c r="L16" s="7"/>
      <c r="M16" s="7"/>
      <c r="N16" s="7"/>
      <c r="O16" s="7"/>
      <c r="P16" s="7"/>
      <c r="Q16" s="7"/>
      <c r="R16" s="7"/>
      <c r="S16" s="7"/>
      <c r="T16" s="7"/>
      <c r="U16" s="7"/>
      <c r="V16" s="7"/>
      <c r="W16" s="7"/>
      <c r="X16" s="13"/>
    </row>
    <row r="17" spans="1:24" x14ac:dyDescent="0.3">
      <c r="A17" s="12"/>
      <c r="B17" s="7"/>
      <c r="C17" s="7"/>
      <c r="D17" s="7"/>
      <c r="E17" s="7"/>
      <c r="F17" s="7"/>
      <c r="G17" s="7"/>
      <c r="H17" s="7"/>
      <c r="I17" s="7"/>
      <c r="J17" s="7"/>
      <c r="K17" s="7"/>
      <c r="L17" s="7"/>
      <c r="M17" s="7"/>
      <c r="N17" s="7"/>
      <c r="O17" s="7"/>
      <c r="P17" s="7"/>
      <c r="Q17" s="7"/>
      <c r="R17" s="7"/>
      <c r="S17" s="7"/>
      <c r="T17" s="7"/>
      <c r="U17" s="7"/>
      <c r="V17" s="7"/>
      <c r="W17" s="7"/>
      <c r="X17" s="13"/>
    </row>
    <row r="18" spans="1:24" x14ac:dyDescent="0.3">
      <c r="A18" s="12"/>
      <c r="B18" s="7"/>
      <c r="C18" s="7"/>
      <c r="D18" s="7"/>
      <c r="E18" s="7"/>
      <c r="F18" s="7"/>
      <c r="G18" s="7"/>
      <c r="H18" s="7"/>
      <c r="I18" s="7"/>
      <c r="J18" s="7"/>
      <c r="K18" s="7"/>
      <c r="L18" s="7"/>
      <c r="M18" s="7"/>
      <c r="N18" s="7"/>
      <c r="O18" s="7"/>
      <c r="P18" s="7"/>
      <c r="Q18" s="7"/>
      <c r="R18" s="7"/>
      <c r="S18" s="7"/>
      <c r="T18" s="7"/>
      <c r="U18" s="7"/>
      <c r="V18" s="7"/>
      <c r="W18" s="7"/>
      <c r="X18" s="13"/>
    </row>
    <row r="19" spans="1:24" x14ac:dyDescent="0.3">
      <c r="A19" s="12"/>
      <c r="B19" s="7"/>
      <c r="C19" s="7"/>
      <c r="D19" s="7"/>
      <c r="E19" s="7"/>
      <c r="F19" s="7"/>
      <c r="G19" s="7"/>
      <c r="H19" s="7"/>
      <c r="I19" s="7"/>
      <c r="J19" s="7"/>
      <c r="K19" s="7"/>
      <c r="L19" s="7"/>
      <c r="M19" s="7"/>
      <c r="N19" s="7"/>
      <c r="O19" s="7"/>
      <c r="P19" s="7"/>
      <c r="Q19" s="7"/>
      <c r="R19" s="7"/>
      <c r="S19" s="7"/>
      <c r="T19" s="7"/>
      <c r="U19" s="7"/>
      <c r="V19" s="7"/>
      <c r="W19" s="7"/>
      <c r="X19" s="13"/>
    </row>
    <row r="20" spans="1:24" x14ac:dyDescent="0.3">
      <c r="A20" s="12"/>
      <c r="B20" s="7"/>
      <c r="C20" s="7"/>
      <c r="D20" s="7"/>
      <c r="E20" s="7"/>
      <c r="F20" s="7"/>
      <c r="G20" s="7"/>
      <c r="H20" s="7"/>
      <c r="I20" s="7"/>
      <c r="J20" s="7"/>
      <c r="K20" s="7"/>
      <c r="L20" s="7"/>
      <c r="M20" s="7"/>
      <c r="N20" s="7"/>
      <c r="O20" s="7"/>
      <c r="P20" s="7"/>
      <c r="Q20" s="7"/>
      <c r="R20" s="7"/>
      <c r="S20" s="7"/>
      <c r="T20" s="7"/>
      <c r="U20" s="7"/>
      <c r="V20" s="7"/>
      <c r="W20" s="7"/>
      <c r="X20" s="13"/>
    </row>
    <row r="21" spans="1:24" x14ac:dyDescent="0.3">
      <c r="A21" s="12"/>
      <c r="B21" s="7"/>
      <c r="C21" s="7"/>
      <c r="D21" s="7"/>
      <c r="E21" s="7"/>
      <c r="F21" s="7"/>
      <c r="G21" s="7"/>
      <c r="H21" s="7"/>
      <c r="I21" s="7"/>
      <c r="J21" s="7"/>
      <c r="K21" s="7"/>
      <c r="L21" s="7"/>
      <c r="M21" s="7"/>
      <c r="N21" s="7"/>
      <c r="O21" s="7"/>
      <c r="P21" s="7"/>
      <c r="Q21" s="7"/>
      <c r="R21" s="7"/>
      <c r="S21" s="7"/>
      <c r="T21" s="7"/>
      <c r="U21" s="7"/>
      <c r="V21" s="7"/>
      <c r="W21" s="7"/>
      <c r="X21" s="13"/>
    </row>
    <row r="22" spans="1:24" x14ac:dyDescent="0.3">
      <c r="A22" s="12"/>
      <c r="B22" s="7"/>
      <c r="C22" s="7"/>
      <c r="D22" s="7"/>
      <c r="E22" s="7"/>
      <c r="F22" s="7"/>
      <c r="G22" s="7"/>
      <c r="H22" s="7"/>
      <c r="I22" s="7"/>
      <c r="J22" s="7"/>
      <c r="K22" s="7"/>
      <c r="L22" s="7"/>
      <c r="M22" s="7"/>
      <c r="N22" s="7"/>
      <c r="O22" s="7"/>
      <c r="P22" s="7"/>
      <c r="Q22" s="7"/>
      <c r="R22" s="7"/>
      <c r="S22" s="7"/>
      <c r="T22" s="7"/>
      <c r="U22" s="7"/>
      <c r="V22" s="7"/>
      <c r="W22" s="7"/>
      <c r="X22" s="13"/>
    </row>
    <row r="23" spans="1:24" x14ac:dyDescent="0.3">
      <c r="A23" s="12"/>
      <c r="B23" s="7"/>
      <c r="C23" s="7"/>
      <c r="D23" s="7"/>
      <c r="E23" s="7"/>
      <c r="F23" s="7"/>
      <c r="G23" s="7"/>
      <c r="H23" s="7"/>
      <c r="I23" s="7"/>
      <c r="J23" s="7"/>
      <c r="K23" s="7"/>
      <c r="L23" s="7"/>
      <c r="M23" s="7"/>
      <c r="N23" s="7"/>
      <c r="O23" s="7"/>
      <c r="P23" s="7"/>
      <c r="Q23" s="7"/>
      <c r="R23" s="7"/>
      <c r="S23" s="7"/>
      <c r="T23" s="7"/>
      <c r="U23" s="7"/>
      <c r="V23" s="7"/>
      <c r="W23" s="7"/>
      <c r="X23" s="13"/>
    </row>
    <row r="24" spans="1:24" x14ac:dyDescent="0.3">
      <c r="A24" s="12"/>
      <c r="B24" s="7"/>
      <c r="C24" s="7"/>
      <c r="D24" s="7"/>
      <c r="E24" s="7"/>
      <c r="F24" s="7"/>
      <c r="G24" s="7"/>
      <c r="H24" s="7"/>
      <c r="I24" s="7"/>
      <c r="J24" s="7"/>
      <c r="K24" s="7"/>
      <c r="L24" s="7"/>
      <c r="M24" s="7"/>
      <c r="N24" s="7"/>
      <c r="O24" s="7"/>
      <c r="P24" s="7"/>
      <c r="Q24" s="7"/>
      <c r="R24" s="7"/>
      <c r="S24" s="7"/>
      <c r="T24" s="7"/>
      <c r="U24" s="7"/>
      <c r="V24" s="7"/>
      <c r="W24" s="7"/>
      <c r="X24" s="13"/>
    </row>
    <row r="25" spans="1:24" x14ac:dyDescent="0.3">
      <c r="A25" s="12"/>
      <c r="B25" s="7"/>
      <c r="C25" s="7"/>
      <c r="D25" s="7"/>
      <c r="E25" s="7"/>
      <c r="F25" s="7"/>
      <c r="G25" s="7"/>
      <c r="H25" s="7"/>
      <c r="I25" s="7"/>
      <c r="J25" s="7"/>
      <c r="K25" s="7"/>
      <c r="L25" s="7"/>
      <c r="M25" s="7"/>
      <c r="N25" s="7"/>
      <c r="O25" s="7"/>
      <c r="P25" s="7"/>
      <c r="Q25" s="7"/>
      <c r="R25" s="7"/>
      <c r="S25" s="7"/>
      <c r="T25" s="7"/>
      <c r="U25" s="7"/>
      <c r="V25" s="7"/>
      <c r="W25" s="7"/>
      <c r="X25" s="13"/>
    </row>
    <row r="26" spans="1:24" x14ac:dyDescent="0.3">
      <c r="A26" s="12"/>
      <c r="B26" s="7"/>
      <c r="C26" s="7"/>
      <c r="D26" s="7"/>
      <c r="E26" s="7"/>
      <c r="F26" s="7"/>
      <c r="G26" s="7"/>
      <c r="H26" s="7"/>
      <c r="I26" s="7"/>
      <c r="J26" s="7"/>
      <c r="K26" s="7"/>
      <c r="L26" s="7"/>
      <c r="M26" s="7"/>
      <c r="N26" s="7"/>
      <c r="O26" s="7"/>
      <c r="P26" s="7"/>
      <c r="Q26" s="7"/>
      <c r="R26" s="7"/>
      <c r="S26" s="7"/>
      <c r="T26" s="7"/>
      <c r="U26" s="7"/>
      <c r="V26" s="7"/>
      <c r="W26" s="7"/>
      <c r="X26" s="13"/>
    </row>
    <row r="27" spans="1:24" x14ac:dyDescent="0.3">
      <c r="A27" s="12"/>
      <c r="B27" s="7"/>
      <c r="C27" s="7"/>
      <c r="D27" s="7"/>
      <c r="E27" s="7"/>
      <c r="F27" s="7"/>
      <c r="G27" s="7"/>
      <c r="H27" s="7"/>
      <c r="I27" s="7"/>
      <c r="J27" s="7"/>
      <c r="K27" s="7"/>
      <c r="L27" s="7"/>
      <c r="M27" s="7"/>
      <c r="N27" s="7"/>
      <c r="O27" s="7"/>
      <c r="P27" s="7"/>
      <c r="Q27" s="7"/>
      <c r="R27" s="7"/>
      <c r="S27" s="7"/>
      <c r="T27" s="7"/>
      <c r="U27" s="7"/>
      <c r="V27" s="7"/>
      <c r="W27" s="7"/>
      <c r="X27" s="13"/>
    </row>
    <row r="28" spans="1:24" x14ac:dyDescent="0.3">
      <c r="A28" s="12"/>
      <c r="B28" s="7"/>
      <c r="C28" s="7"/>
      <c r="D28" s="7"/>
      <c r="E28" s="7"/>
      <c r="F28" s="7"/>
      <c r="G28" s="7"/>
      <c r="H28" s="7"/>
      <c r="I28" s="7"/>
      <c r="J28" s="7"/>
      <c r="K28" s="7"/>
      <c r="L28" s="7"/>
      <c r="M28" s="7"/>
      <c r="N28" s="7"/>
      <c r="O28" s="7"/>
      <c r="P28" s="7"/>
      <c r="Q28" s="7"/>
      <c r="R28" s="7"/>
      <c r="S28" s="7"/>
      <c r="T28" s="7"/>
      <c r="U28" s="7"/>
      <c r="V28" s="7"/>
      <c r="W28" s="7"/>
      <c r="X28" s="13"/>
    </row>
    <row r="29" spans="1:24" x14ac:dyDescent="0.3">
      <c r="A29" s="12"/>
      <c r="B29" s="7"/>
      <c r="C29" s="7"/>
      <c r="D29" s="7"/>
      <c r="E29" s="7"/>
      <c r="F29" s="7"/>
      <c r="G29" s="7"/>
      <c r="H29" s="7"/>
      <c r="I29" s="7"/>
      <c r="J29" s="7"/>
      <c r="K29" s="7"/>
      <c r="L29" s="7"/>
      <c r="M29" s="7"/>
      <c r="N29" s="7"/>
      <c r="O29" s="7"/>
      <c r="P29" s="7"/>
      <c r="Q29" s="7"/>
      <c r="R29" s="7"/>
      <c r="S29" s="7"/>
      <c r="T29" s="7"/>
      <c r="U29" s="7"/>
      <c r="V29" s="7"/>
      <c r="W29" s="7"/>
      <c r="X29" s="13"/>
    </row>
    <row r="30" spans="1:24" x14ac:dyDescent="0.3">
      <c r="A30" s="12"/>
      <c r="B30" s="7"/>
      <c r="C30" s="7"/>
      <c r="D30" s="7"/>
      <c r="E30" s="7"/>
      <c r="F30" s="7"/>
      <c r="G30" s="7"/>
      <c r="H30" s="7"/>
      <c r="I30" s="7"/>
      <c r="J30" s="7"/>
      <c r="K30" s="7"/>
      <c r="L30" s="7"/>
      <c r="M30" s="7"/>
      <c r="N30" s="7"/>
      <c r="O30" s="7"/>
      <c r="P30" s="7"/>
      <c r="Q30" s="7"/>
      <c r="R30" s="7"/>
      <c r="S30" s="7"/>
      <c r="T30" s="7"/>
      <c r="U30" s="7"/>
      <c r="V30" s="7"/>
      <c r="W30" s="7"/>
      <c r="X30" s="13"/>
    </row>
    <row r="31" spans="1:24" x14ac:dyDescent="0.3">
      <c r="A31" s="12"/>
      <c r="B31" s="7"/>
      <c r="C31" s="7"/>
      <c r="D31" s="7"/>
      <c r="E31" s="7"/>
      <c r="F31" s="7"/>
      <c r="G31" s="7"/>
      <c r="H31" s="7"/>
      <c r="I31" s="7"/>
      <c r="J31" s="7"/>
      <c r="K31" s="7"/>
      <c r="L31" s="7"/>
      <c r="M31" s="7"/>
      <c r="N31" s="7"/>
      <c r="O31" s="7"/>
      <c r="P31" s="7"/>
      <c r="Q31" s="7"/>
      <c r="R31" s="7"/>
      <c r="S31" s="7"/>
      <c r="T31" s="7"/>
      <c r="U31" s="7"/>
      <c r="V31" s="7"/>
      <c r="W31" s="7"/>
      <c r="X31" s="13"/>
    </row>
    <row r="32" spans="1:24" x14ac:dyDescent="0.3">
      <c r="A32" s="12"/>
      <c r="B32" s="7"/>
      <c r="C32" s="7"/>
      <c r="D32" s="7"/>
      <c r="E32" s="7"/>
      <c r="F32" s="7"/>
      <c r="G32" s="7"/>
      <c r="H32" s="7"/>
      <c r="I32" s="7"/>
      <c r="J32" s="7"/>
      <c r="K32" s="7"/>
      <c r="L32" s="7"/>
      <c r="M32" s="7"/>
      <c r="N32" s="7"/>
      <c r="O32" s="7"/>
      <c r="P32" s="7"/>
      <c r="Q32" s="7"/>
      <c r="R32" s="7"/>
      <c r="S32" s="7"/>
      <c r="T32" s="7"/>
      <c r="U32" s="7"/>
      <c r="V32" s="7"/>
      <c r="W32" s="7"/>
      <c r="X32" s="13"/>
    </row>
    <row r="33" spans="1:24" ht="15" thickBot="1" x14ac:dyDescent="0.35">
      <c r="A33" s="14"/>
      <c r="B33" s="15"/>
      <c r="C33" s="15"/>
      <c r="D33" s="15"/>
      <c r="E33" s="15"/>
      <c r="F33" s="15"/>
      <c r="G33" s="15"/>
      <c r="H33" s="15"/>
      <c r="I33" s="15"/>
      <c r="J33" s="15"/>
      <c r="K33" s="15"/>
      <c r="L33" s="15"/>
      <c r="M33" s="15"/>
      <c r="N33" s="15"/>
      <c r="O33" s="15"/>
      <c r="P33" s="15"/>
      <c r="Q33" s="15"/>
      <c r="R33" s="15"/>
      <c r="S33" s="15"/>
      <c r="T33" s="15"/>
      <c r="U33" s="15"/>
      <c r="V33" s="15"/>
      <c r="W33" s="15"/>
      <c r="X33" s="16"/>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83735F49-A102-436D-94BF-D26FC7743080}">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heart</vt:lpstr>
      <vt:lpstr>EDA Summary</vt:lpstr>
      <vt:lpstr>Histograms</vt:lpstr>
      <vt:lpstr>Correlation_Data</vt:lpstr>
      <vt:lpstr>Correlation_matrix</vt:lpstr>
      <vt:lpstr>Pivot_Analysis</vt:lpstr>
      <vt:lpstr>Dashboard1</vt:lpstr>
      <vt:lpstr>Dashboard2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Ravi Mhetre</dc:creator>
  <cp:lastModifiedBy>Ravi Mhetre</cp:lastModifiedBy>
  <dcterms:created xsi:type="dcterms:W3CDTF">2026-02-21T04:30:49Z</dcterms:created>
  <dcterms:modified xsi:type="dcterms:W3CDTF">2026-02-28T10:21:26Z</dcterms:modified>
</cp:coreProperties>
</file>